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164 - 100ns" sheetId="1" r:id="rId4"/>
    <sheet state="visible" name="4164 - 120ns" sheetId="2" r:id="rId5"/>
    <sheet state="visible" name="4164 - 150ns" sheetId="3" r:id="rId6"/>
    <sheet state="visible" name="4816 - 100ns" sheetId="4" r:id="rId7"/>
    <sheet state="visible" name="4816 - 120ns" sheetId="5" r:id="rId8"/>
    <sheet state="visible" name="4816 - 150ns" sheetId="6" r:id="rId9"/>
  </sheets>
  <definedNames/>
  <calcPr/>
  <extLst>
    <ext uri="GoogleSheetsCustomDataVersion2">
      <go:sheetsCustomData xmlns:go="http://customooxmlschemas.google.com/" r:id="rId10" roundtripDataChecksum="d7cM4en6tQ8LGjDDVt/yTvBWGg2CuGbF62c8/74s9Hg="/>
    </ext>
  </extLst>
</workbook>
</file>

<file path=xl/sharedStrings.xml><?xml version="1.0" encoding="utf-8"?>
<sst xmlns="http://schemas.openxmlformats.org/spreadsheetml/2006/main" count="504" uniqueCount="126">
  <si>
    <t>Delays</t>
  </si>
  <si>
    <t>'Indeterminate' Data Out Write Cycle.</t>
  </si>
  <si>
    <t>Index</t>
  </si>
  <si>
    <t>Cycles</t>
  </si>
  <si>
    <t>Label</t>
  </si>
  <si>
    <t>Instruction</t>
  </si>
  <si>
    <t>Delay</t>
  </si>
  <si>
    <t>Start ns</t>
  </si>
  <si>
    <t>End ns</t>
  </si>
  <si>
    <t>Notes</t>
  </si>
  <si>
    <t>full_transfer:</t>
  </si>
  <si>
    <t>nop [1]</t>
  </si>
  <si>
    <t>Wait [1]</t>
  </si>
  <si>
    <t xml:space="preserve">nop [2] </t>
  </si>
  <si>
    <t>Wait [2]</t>
  </si>
  <si>
    <t>out pins, 8</t>
  </si>
  <si>
    <t>Set the row address.</t>
  </si>
  <si>
    <t>set pins, 0b101</t>
  </si>
  <si>
    <r>
      <rPr>
        <rFont val="Arial"/>
        <color theme="1"/>
      </rPr>
      <t>Lower RAS.</t>
    </r>
    <r>
      <rPr>
        <rFont val="Arial"/>
        <b/>
        <color rgb="FFFF0000"/>
      </rPr>
      <t xml:space="preserve"> tRP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must be met. Start of </t>
    </r>
    <r>
      <rPr>
        <rFont val="Arial"/>
        <b/>
        <color theme="1"/>
      </rPr>
      <t xml:space="preserve">tRAC, tRAH, tRAS, tRCD and tWCR </t>
    </r>
    <r>
      <rPr>
        <rFont val="Arial"/>
        <color theme="1"/>
      </rPr>
      <t>timings</t>
    </r>
    <r>
      <rPr>
        <rFont val="Arial"/>
        <b/>
        <color theme="1"/>
      </rPr>
      <t>.</t>
    </r>
  </si>
  <si>
    <t xml:space="preserve">nop [3] </t>
  </si>
  <si>
    <t>Wait [3]</t>
  </si>
  <si>
    <t>cas_only_transfer:</t>
  </si>
  <si>
    <t>out pins, 10</t>
  </si>
  <si>
    <r>
      <rPr>
        <rFont val="Arial"/>
        <color theme="1"/>
      </rPr>
      <t>Set the column address and data bit. Setting the data bit now allows for early and late write scenarios.</t>
    </r>
    <r>
      <rPr>
        <rFont val="Arial"/>
        <b/>
        <color rgb="FFFF0000"/>
      </rPr>
      <t xml:space="preserve"> tRAH</t>
    </r>
    <r>
      <rPr>
        <rFont val="Arial"/>
        <b/>
        <color rgb="FF0000FF"/>
      </rPr>
      <t xml:space="preserve"> </t>
    </r>
    <r>
      <rPr>
        <rFont val="Arial"/>
        <color theme="1"/>
      </rPr>
      <t>must be met.</t>
    </r>
  </si>
  <si>
    <t>jmp !x skip_wr</t>
  </si>
  <si>
    <t>Write... or don't...We make sure that the branching paths take the same time.</t>
  </si>
  <si>
    <t>set pins, 0b000</t>
  </si>
  <si>
    <r>
      <rPr>
        <rFont val="Arial"/>
        <color theme="1"/>
      </rPr>
      <t xml:space="preserve">Lower WR and CAS </t>
    </r>
    <r>
      <rPr>
        <rFont val="Arial"/>
        <b/>
        <color theme="1"/>
      </rPr>
      <t xml:space="preserve">Start of tWP and tWCH and tCAS. </t>
    </r>
    <r>
      <rPr>
        <rFont val="Arial"/>
        <b/>
        <color rgb="FF0000FF"/>
      </rPr>
      <t>tCPN</t>
    </r>
    <r>
      <rPr>
        <rFont val="Arial"/>
        <color rgb="FF0000FF"/>
      </rPr>
      <t xml:space="preserve"> </t>
    </r>
    <r>
      <rPr>
        <rFont val="Arial"/>
        <color theme="1"/>
      </rPr>
      <t xml:space="preserve">must be met. </t>
    </r>
    <r>
      <rPr>
        <rFont val="Arial"/>
        <b/>
        <color theme="1"/>
      </rPr>
      <t>If we factor in transition timings, we are perhaps now in Late Write mode with indeterminate data out.</t>
    </r>
  </si>
  <si>
    <t xml:space="preserve"> </t>
  </si>
  <si>
    <t>jmp skip_wr2</t>
  </si>
  <si>
    <t>Jump back to shared codepath.</t>
  </si>
  <si>
    <t>Chip Timings</t>
  </si>
  <si>
    <t>skip_wr:</t>
  </si>
  <si>
    <t>set pins, 0b001</t>
  </si>
  <si>
    <r>
      <rPr>
        <rFont val="Arial"/>
        <color theme="1"/>
      </rPr>
      <t xml:space="preserve">Lower CAS </t>
    </r>
    <r>
      <rPr>
        <rFont val="Arial"/>
        <b/>
        <color theme="1"/>
      </rPr>
      <t>Start of tCAH and tCAS.</t>
    </r>
    <r>
      <rPr>
        <rFont val="Arial"/>
        <b/>
        <color rgb="FFFF0000"/>
      </rPr>
      <t xml:space="preserve"> tRCD(min) </t>
    </r>
    <r>
      <rPr>
        <rFont val="Arial"/>
        <color theme="1"/>
      </rPr>
      <t xml:space="preserve">and </t>
    </r>
    <r>
      <rPr>
        <rFont val="Arial"/>
        <b/>
        <color rgb="FF0000FF"/>
      </rPr>
      <t>tCPN</t>
    </r>
    <r>
      <rPr>
        <rFont val="Arial"/>
        <b/>
        <color theme="1"/>
      </rPr>
      <t xml:space="preserve"> </t>
    </r>
    <r>
      <rPr>
        <rFont val="Arial"/>
        <color theme="1"/>
      </rPr>
      <t>must be met.</t>
    </r>
    <r>
      <rPr>
        <rFont val="Arial"/>
        <color rgb="FFC27BA0"/>
      </rPr>
      <t xml:space="preserve"> </t>
    </r>
    <r>
      <rPr>
        <rFont val="Arial"/>
        <b/>
        <color rgb="FFFF00FF"/>
      </rPr>
      <t>tRCD(max)</t>
    </r>
    <r>
      <rPr>
        <rFont val="Arial"/>
        <b/>
        <color rgb="FF980000"/>
      </rPr>
      <t xml:space="preserve"> </t>
    </r>
    <r>
      <rPr>
        <rFont val="Arial"/>
        <color theme="1"/>
      </rPr>
      <t>must</t>
    </r>
    <r>
      <rPr>
        <rFont val="Arial"/>
        <b/>
        <color theme="1"/>
      </rPr>
      <t xml:space="preserve"> </t>
    </r>
    <r>
      <rPr>
        <rFont val="Arial"/>
        <color theme="1"/>
      </rPr>
      <t>not (so that tRAC determines data availability later).</t>
    </r>
  </si>
  <si>
    <t>tRP</t>
  </si>
  <si>
    <t>nop</t>
  </si>
  <si>
    <t>Ensure that both branches take the same amount of time.</t>
  </si>
  <si>
    <t>tCPN</t>
  </si>
  <si>
    <t>skip_wr2:</t>
  </si>
  <si>
    <t>mov OSR, NULL</t>
  </si>
  <si>
    <t>Blank the State Machine's Output Shift Register.</t>
  </si>
  <si>
    <t>tRAC</t>
  </si>
  <si>
    <t>nop [4]</t>
  </si>
  <si>
    <t>Wait [4]</t>
  </si>
  <si>
    <t>tRAH</t>
  </si>
  <si>
    <r>
      <rPr>
        <rFont val="Arial"/>
        <color theme="1"/>
      </rPr>
      <t xml:space="preserve">Raise WS. </t>
    </r>
    <r>
      <rPr>
        <rFont val="Arial"/>
        <b/>
        <color rgb="FFFF0000"/>
      </rPr>
      <t>tWP</t>
    </r>
    <r>
      <rPr>
        <rFont val="Arial"/>
        <color rgb="FFFF0000"/>
      </rPr>
      <t xml:space="preserve">, </t>
    </r>
    <r>
      <rPr>
        <rFont val="Arial"/>
        <b/>
        <color rgb="FF0000FF"/>
      </rPr>
      <t xml:space="preserve">tWCH </t>
    </r>
    <r>
      <rPr>
        <rFont val="Arial"/>
        <color theme="1"/>
      </rPr>
      <t xml:space="preserve">and </t>
    </r>
    <r>
      <rPr>
        <rFont val="Arial"/>
        <b/>
        <color rgb="FF9900FF"/>
      </rPr>
      <t xml:space="preserve">tWCR </t>
    </r>
    <r>
      <rPr>
        <rFont val="Arial"/>
        <color theme="1"/>
      </rPr>
      <t>must be met.</t>
    </r>
  </si>
  <si>
    <t>tCAH</t>
  </si>
  <si>
    <r>
      <rPr>
        <rFont val="Arial"/>
        <color theme="1"/>
      </rPr>
      <t>Clear column address and the write bit (we're OUTing all zeros to the pins).</t>
    </r>
    <r>
      <rPr>
        <rFont val="Arial"/>
        <b/>
        <color theme="1"/>
      </rPr>
      <t xml:space="preserve"> </t>
    </r>
    <r>
      <rPr>
        <rFont val="Arial"/>
        <b/>
        <color rgb="FFFF0000"/>
      </rPr>
      <t xml:space="preserve">tCAH </t>
    </r>
    <r>
      <rPr>
        <rFont val="Arial"/>
        <color theme="1"/>
      </rPr>
      <t>must be met</t>
    </r>
    <r>
      <rPr>
        <rFont val="Arial"/>
        <b/>
        <color theme="1"/>
      </rPr>
      <t xml:space="preserve"> for read cycles.</t>
    </r>
  </si>
  <si>
    <t>tRWD</t>
  </si>
  <si>
    <t>nop [5]</t>
  </si>
  <si>
    <t>Wait [5]</t>
  </si>
  <si>
    <t>tWP</t>
  </si>
  <si>
    <t>in pins, 1</t>
  </si>
  <si>
    <r>
      <rPr>
        <rFont val="Arial"/>
        <color theme="1"/>
      </rPr>
      <t xml:space="preserve">Read the read data bit into the OSR. </t>
    </r>
    <r>
      <rPr>
        <rFont val="Arial"/>
        <b/>
        <color rgb="FFFF0000"/>
      </rPr>
      <t>tRAC</t>
    </r>
    <r>
      <rPr>
        <rFont val="Arial"/>
        <color rgb="FFFF0000"/>
      </rPr>
      <t xml:space="preserve"> </t>
    </r>
    <r>
      <rPr>
        <rFont val="Arial"/>
        <color theme="1"/>
      </rPr>
      <t>must be met. In our configured write mode, Q will be garbage.</t>
    </r>
  </si>
  <si>
    <t>tWCH</t>
  </si>
  <si>
    <r>
      <rPr>
        <rFont val="Arial"/>
        <color theme="1"/>
      </rPr>
      <t xml:space="preserve">Raise CAS. </t>
    </r>
    <r>
      <rPr>
        <rFont val="Arial"/>
        <b/>
        <color rgb="FFFF0000"/>
      </rPr>
      <t xml:space="preserve">tCAS </t>
    </r>
    <r>
      <rPr>
        <rFont val="Arial"/>
        <color theme="1"/>
      </rPr>
      <t>must be met.</t>
    </r>
  </si>
  <si>
    <t>tRCD(min)</t>
  </si>
  <si>
    <t>push noblock</t>
  </si>
  <si>
    <t>tRCD(max)</t>
  </si>
  <si>
    <t>nop [6]</t>
  </si>
  <si>
    <t>Wait [6]</t>
  </si>
  <si>
    <t>tRAS</t>
  </si>
  <si>
    <t>jmp !y begin</t>
  </si>
  <si>
    <r>
      <rPr>
        <rFont val="Arial"/>
        <b/>
        <color rgb="FFFF0000"/>
      </rPr>
      <t>tRAS</t>
    </r>
    <r>
      <rPr>
        <rFont val="Arial"/>
        <b/>
        <color theme="1"/>
      </rPr>
      <t xml:space="preserve"> </t>
    </r>
    <r>
      <rPr>
        <rFont val="Arial"/>
        <b val="0"/>
        <color theme="1"/>
      </rPr>
      <t xml:space="preserve">and </t>
    </r>
    <r>
      <rPr>
        <rFont val="Arial"/>
        <b/>
        <color rgb="FF0000FF"/>
      </rPr>
      <t xml:space="preserve">tRC </t>
    </r>
    <r>
      <rPr>
        <rFont val="Arial"/>
        <b val="0"/>
        <color theme="1"/>
      </rPr>
      <t>must have been met.</t>
    </r>
  </si>
  <si>
    <t>tCAS</t>
  </si>
  <si>
    <t>jmp skip_ras</t>
  </si>
  <si>
    <t>tRC</t>
  </si>
  <si>
    <t>begin:</t>
  </si>
  <si>
    <t>set pins, 0b111</t>
  </si>
  <si>
    <t>Raise RAS, CAS &amp; WR.  tRP and tCPN</t>
  </si>
  <si>
    <t>tRWC</t>
  </si>
  <si>
    <t>skip_ras:</t>
  </si>
  <si>
    <t>pull block</t>
  </si>
  <si>
    <t>tWCR</t>
  </si>
  <si>
    <t>out y, 1</t>
  </si>
  <si>
    <t>out x, 1</t>
  </si>
  <si>
    <t>jmp !y full_transfer</t>
  </si>
  <si>
    <t>out NULL, 8 [7]</t>
  </si>
  <si>
    <t>Wait [7]</t>
  </si>
  <si>
    <t>jmp cas_only_transfer</t>
  </si>
  <si>
    <r>
      <rPr>
        <rFont val="Arial"/>
        <color theme="1"/>
      </rPr>
      <t>Lower RAS.</t>
    </r>
    <r>
      <rPr>
        <rFont val="Arial"/>
        <b/>
        <color rgb="FFFF0000"/>
      </rPr>
      <t xml:space="preserve"> tRP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must be met. Start of </t>
    </r>
    <r>
      <rPr>
        <rFont val="Arial"/>
        <b/>
        <color theme="1"/>
      </rPr>
      <t xml:space="preserve">tRAC, tRAH, tRAS, tRCD and tWCR </t>
    </r>
    <r>
      <rPr>
        <rFont val="Arial"/>
        <color theme="1"/>
      </rPr>
      <t>timings</t>
    </r>
    <r>
      <rPr>
        <rFont val="Arial"/>
        <b/>
        <color theme="1"/>
      </rPr>
      <t>.</t>
    </r>
  </si>
  <si>
    <r>
      <rPr>
        <rFont val="Arial"/>
        <color theme="1"/>
      </rPr>
      <t>Set the column address and data bit. Setting the data bit now allows for early and late write scenarios.</t>
    </r>
    <r>
      <rPr>
        <rFont val="Arial"/>
        <b/>
        <color rgb="FFFF0000"/>
      </rPr>
      <t xml:space="preserve"> tRAH</t>
    </r>
    <r>
      <rPr>
        <rFont val="Arial"/>
        <b/>
        <color rgb="FF0000FF"/>
      </rPr>
      <t xml:space="preserve"> </t>
    </r>
    <r>
      <rPr>
        <rFont val="Arial"/>
        <color theme="1"/>
      </rPr>
      <t>must be met.</t>
    </r>
  </si>
  <si>
    <r>
      <rPr>
        <rFont val="Arial"/>
        <color theme="1"/>
      </rPr>
      <t xml:space="preserve">Lower WR and CAS </t>
    </r>
    <r>
      <rPr>
        <rFont val="Arial"/>
        <b/>
        <color theme="1"/>
      </rPr>
      <t xml:space="preserve">Start of tWP and tWCH and tCAS. </t>
    </r>
    <r>
      <rPr>
        <rFont val="Arial"/>
        <b/>
        <color rgb="FF0000FF"/>
      </rPr>
      <t>tCPN</t>
    </r>
    <r>
      <rPr>
        <rFont val="Arial"/>
        <color rgb="FF0000FF"/>
      </rPr>
      <t xml:space="preserve"> </t>
    </r>
    <r>
      <rPr>
        <rFont val="Arial"/>
        <color theme="1"/>
      </rPr>
      <t xml:space="preserve">must be met. </t>
    </r>
    <r>
      <rPr>
        <rFont val="Arial"/>
        <b/>
        <color theme="1"/>
      </rPr>
      <t>If we factor in transition timings, we are perhaps now in Late Write mode with indeterminate data out.</t>
    </r>
  </si>
  <si>
    <r>
      <rPr>
        <rFont val="Arial"/>
        <color theme="1"/>
      </rPr>
      <t xml:space="preserve">Lower CAS </t>
    </r>
    <r>
      <rPr>
        <rFont val="Arial"/>
        <b/>
        <color theme="1"/>
      </rPr>
      <t>Start of tCAH and tCAS.</t>
    </r>
    <r>
      <rPr>
        <rFont val="Arial"/>
        <b/>
        <color rgb="FFFF0000"/>
      </rPr>
      <t xml:space="preserve"> tRCD(min) </t>
    </r>
    <r>
      <rPr>
        <rFont val="Arial"/>
        <color theme="1"/>
      </rPr>
      <t xml:space="preserve">and </t>
    </r>
    <r>
      <rPr>
        <rFont val="Arial"/>
        <b/>
        <color rgb="FF0000FF"/>
      </rPr>
      <t>tCPN</t>
    </r>
    <r>
      <rPr>
        <rFont val="Arial"/>
        <b/>
        <color theme="1"/>
      </rPr>
      <t xml:space="preserve"> </t>
    </r>
    <r>
      <rPr>
        <rFont val="Arial"/>
        <color theme="1"/>
      </rPr>
      <t>must be met.</t>
    </r>
    <r>
      <rPr>
        <rFont val="Arial"/>
        <color rgb="FFC27BA0"/>
      </rPr>
      <t xml:space="preserve"> </t>
    </r>
    <r>
      <rPr>
        <rFont val="Arial"/>
        <b/>
        <color rgb="FFFF00FF"/>
      </rPr>
      <t>tRCD(max)</t>
    </r>
    <r>
      <rPr>
        <rFont val="Arial"/>
        <b/>
        <color rgb="FF980000"/>
      </rPr>
      <t xml:space="preserve"> </t>
    </r>
    <r>
      <rPr>
        <rFont val="Arial"/>
        <color theme="1"/>
      </rPr>
      <t>must</t>
    </r>
    <r>
      <rPr>
        <rFont val="Arial"/>
        <b/>
        <color theme="1"/>
      </rPr>
      <t xml:space="preserve"> </t>
    </r>
    <r>
      <rPr>
        <rFont val="Arial"/>
        <color theme="1"/>
      </rPr>
      <t>not (so that tRAC determines data availability later).</t>
    </r>
  </si>
  <si>
    <r>
      <rPr>
        <rFont val="Arial"/>
        <color theme="1"/>
      </rPr>
      <t xml:space="preserve">Raise WS. </t>
    </r>
    <r>
      <rPr>
        <rFont val="Arial"/>
        <b/>
        <color rgb="FFFF0000"/>
      </rPr>
      <t>tWP</t>
    </r>
    <r>
      <rPr>
        <rFont val="Arial"/>
        <color rgb="FFFF0000"/>
      </rPr>
      <t xml:space="preserve">, </t>
    </r>
    <r>
      <rPr>
        <rFont val="Arial"/>
        <b/>
        <color rgb="FF0000FF"/>
      </rPr>
      <t xml:space="preserve">tWCH </t>
    </r>
    <r>
      <rPr>
        <rFont val="Arial"/>
        <color theme="1"/>
      </rPr>
      <t xml:space="preserve">and </t>
    </r>
    <r>
      <rPr>
        <rFont val="Arial"/>
        <b/>
        <color rgb="FF9900FF"/>
      </rPr>
      <t xml:space="preserve">tWCR </t>
    </r>
    <r>
      <rPr>
        <rFont val="Arial"/>
        <color theme="1"/>
      </rPr>
      <t>must be met.</t>
    </r>
  </si>
  <si>
    <r>
      <rPr>
        <rFont val="Arial"/>
        <color theme="1"/>
      </rPr>
      <t>Clear column address and the write bit (we're OUTing all zeros to the pins).</t>
    </r>
    <r>
      <rPr>
        <rFont val="Arial"/>
        <b/>
        <color theme="1"/>
      </rPr>
      <t xml:space="preserve"> </t>
    </r>
    <r>
      <rPr>
        <rFont val="Arial"/>
        <b/>
        <color rgb="FFFF0000"/>
      </rPr>
      <t xml:space="preserve">tCAH </t>
    </r>
    <r>
      <rPr>
        <rFont val="Arial"/>
        <color theme="1"/>
      </rPr>
      <t>must be met</t>
    </r>
    <r>
      <rPr>
        <rFont val="Arial"/>
        <b/>
        <color theme="1"/>
      </rPr>
      <t xml:space="preserve"> for read cycles.</t>
    </r>
  </si>
  <si>
    <r>
      <rPr>
        <rFont val="Arial"/>
        <color theme="1"/>
      </rPr>
      <t xml:space="preserve">Read the read data bit into the OSR. </t>
    </r>
    <r>
      <rPr>
        <rFont val="Arial"/>
        <b/>
        <color rgb="FFFF0000"/>
      </rPr>
      <t>tRAC</t>
    </r>
    <r>
      <rPr>
        <rFont val="Arial"/>
        <color rgb="FFFF0000"/>
      </rPr>
      <t xml:space="preserve"> </t>
    </r>
    <r>
      <rPr>
        <rFont val="Arial"/>
        <color theme="1"/>
      </rPr>
      <t>must be met. In our configured write mode, Q will be garbage.</t>
    </r>
  </si>
  <si>
    <r>
      <rPr>
        <rFont val="Arial"/>
        <color theme="1"/>
      </rPr>
      <t xml:space="preserve">Raise CAS. </t>
    </r>
    <r>
      <rPr>
        <rFont val="Arial"/>
        <b/>
        <color rgb="FFFF0000"/>
      </rPr>
      <t xml:space="preserve">tCAS </t>
    </r>
    <r>
      <rPr>
        <rFont val="Arial"/>
        <color theme="1"/>
      </rPr>
      <t>must be met.</t>
    </r>
  </si>
  <si>
    <r>
      <rPr>
        <rFont val="Arial"/>
        <b/>
        <color rgb="FFFF0000"/>
      </rPr>
      <t>tRAS</t>
    </r>
    <r>
      <rPr>
        <rFont val="Arial"/>
        <b/>
        <color theme="1"/>
      </rPr>
      <t xml:space="preserve"> </t>
    </r>
    <r>
      <rPr>
        <rFont val="Arial"/>
        <b val="0"/>
        <color theme="1"/>
      </rPr>
      <t xml:space="preserve">and </t>
    </r>
    <r>
      <rPr>
        <rFont val="Arial"/>
        <b/>
        <color rgb="FF0000FF"/>
      </rPr>
      <t xml:space="preserve">tRC </t>
    </r>
    <r>
      <rPr>
        <rFont val="Arial"/>
        <b val="0"/>
        <color theme="1"/>
      </rPr>
      <t>must have been met.</t>
    </r>
  </si>
  <si>
    <r>
      <rPr>
        <rFont val="Arial"/>
        <color theme="1"/>
      </rPr>
      <t>Lower RAS.</t>
    </r>
    <r>
      <rPr>
        <rFont val="Arial"/>
        <b/>
        <color rgb="FFFF0000"/>
      </rPr>
      <t xml:space="preserve"> tRP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must be met. Start of </t>
    </r>
    <r>
      <rPr>
        <rFont val="Arial"/>
        <b/>
        <color theme="1"/>
      </rPr>
      <t xml:space="preserve">tRAC, tRAH, tRAS, tRCD and tWCR </t>
    </r>
    <r>
      <rPr>
        <rFont val="Arial"/>
        <color theme="1"/>
      </rPr>
      <t>timings</t>
    </r>
    <r>
      <rPr>
        <rFont val="Arial"/>
        <b/>
        <color theme="1"/>
      </rPr>
      <t>.</t>
    </r>
  </si>
  <si>
    <r>
      <rPr>
        <rFont val="Arial"/>
        <color theme="1"/>
      </rPr>
      <t>Set the column address and data bit. Setting the data bit now allows for early and late write scenarios.</t>
    </r>
    <r>
      <rPr>
        <rFont val="Arial"/>
        <b/>
        <color rgb="FFFF0000"/>
      </rPr>
      <t xml:space="preserve"> tRAH</t>
    </r>
    <r>
      <rPr>
        <rFont val="Arial"/>
        <b/>
        <color rgb="FF0000FF"/>
      </rPr>
      <t xml:space="preserve"> </t>
    </r>
    <r>
      <rPr>
        <rFont val="Arial"/>
        <color theme="1"/>
      </rPr>
      <t>must be met.</t>
    </r>
  </si>
  <si>
    <r>
      <rPr>
        <rFont val="Arial"/>
        <color theme="1"/>
      </rPr>
      <t xml:space="preserve">Lower WR and CAS </t>
    </r>
    <r>
      <rPr>
        <rFont val="Arial"/>
        <b/>
        <color theme="1"/>
      </rPr>
      <t xml:space="preserve">Start of tWP and tWCH and tCAS. </t>
    </r>
    <r>
      <rPr>
        <rFont val="Arial"/>
        <b/>
        <color rgb="FF0000FF"/>
      </rPr>
      <t>tCPN</t>
    </r>
    <r>
      <rPr>
        <rFont val="Arial"/>
        <color rgb="FF0000FF"/>
      </rPr>
      <t xml:space="preserve"> </t>
    </r>
    <r>
      <rPr>
        <rFont val="Arial"/>
        <color theme="1"/>
      </rPr>
      <t xml:space="preserve">must be met. </t>
    </r>
    <r>
      <rPr>
        <rFont val="Arial"/>
        <b/>
        <color theme="1"/>
      </rPr>
      <t>If we factor in transition timings, we are perhaps now in Late Write mode with indeterminate data out.</t>
    </r>
  </si>
  <si>
    <r>
      <rPr>
        <rFont val="Arial"/>
        <color theme="1"/>
      </rPr>
      <t xml:space="preserve">Lower CAS </t>
    </r>
    <r>
      <rPr>
        <rFont val="Arial"/>
        <b/>
        <color theme="1"/>
      </rPr>
      <t>Start of tCAH and tCAS.</t>
    </r>
    <r>
      <rPr>
        <rFont val="Arial"/>
        <b/>
        <color rgb="FFFF0000"/>
      </rPr>
      <t xml:space="preserve"> tRCD(min) </t>
    </r>
    <r>
      <rPr>
        <rFont val="Arial"/>
        <color theme="1"/>
      </rPr>
      <t xml:space="preserve">and </t>
    </r>
    <r>
      <rPr>
        <rFont val="Arial"/>
        <b/>
        <color rgb="FF0000FF"/>
      </rPr>
      <t>tCPN</t>
    </r>
    <r>
      <rPr>
        <rFont val="Arial"/>
        <b/>
        <color theme="1"/>
      </rPr>
      <t xml:space="preserve"> </t>
    </r>
    <r>
      <rPr>
        <rFont val="Arial"/>
        <color theme="1"/>
      </rPr>
      <t>must be met.</t>
    </r>
    <r>
      <rPr>
        <rFont val="Arial"/>
        <color rgb="FFC27BA0"/>
      </rPr>
      <t xml:space="preserve"> </t>
    </r>
    <r>
      <rPr>
        <rFont val="Arial"/>
        <b/>
        <color rgb="FFFF00FF"/>
      </rPr>
      <t>tRCD(max)</t>
    </r>
    <r>
      <rPr>
        <rFont val="Arial"/>
        <b/>
        <color rgb="FF980000"/>
      </rPr>
      <t xml:space="preserve"> </t>
    </r>
    <r>
      <rPr>
        <rFont val="Arial"/>
        <color theme="1"/>
      </rPr>
      <t>must</t>
    </r>
    <r>
      <rPr>
        <rFont val="Arial"/>
        <b/>
        <color theme="1"/>
      </rPr>
      <t xml:space="preserve"> </t>
    </r>
    <r>
      <rPr>
        <rFont val="Arial"/>
        <color theme="1"/>
      </rPr>
      <t>not (so that tRAC determines data availability later).</t>
    </r>
  </si>
  <si>
    <r>
      <rPr>
        <rFont val="Arial"/>
        <color theme="1"/>
      </rPr>
      <t xml:space="preserve">Raise WS. </t>
    </r>
    <r>
      <rPr>
        <rFont val="Arial"/>
        <b/>
        <color rgb="FFFF0000"/>
      </rPr>
      <t>tWP</t>
    </r>
    <r>
      <rPr>
        <rFont val="Arial"/>
        <color rgb="FFFF0000"/>
      </rPr>
      <t xml:space="preserve">, </t>
    </r>
    <r>
      <rPr>
        <rFont val="Arial"/>
        <b/>
        <color rgb="FF0000FF"/>
      </rPr>
      <t xml:space="preserve">tWCH </t>
    </r>
    <r>
      <rPr>
        <rFont val="Arial"/>
        <color theme="1"/>
      </rPr>
      <t xml:space="preserve">and </t>
    </r>
    <r>
      <rPr>
        <rFont val="Arial"/>
        <b/>
        <color rgb="FF9900FF"/>
      </rPr>
      <t xml:space="preserve">tWCR </t>
    </r>
    <r>
      <rPr>
        <rFont val="Arial"/>
        <color theme="1"/>
      </rPr>
      <t>must be met.</t>
    </r>
  </si>
  <si>
    <r>
      <rPr>
        <rFont val="Arial"/>
        <color theme="1"/>
      </rPr>
      <t>Clear column address and the write bit (we're OUTing all zeros to the pins).</t>
    </r>
    <r>
      <rPr>
        <rFont val="Arial"/>
        <b/>
        <color theme="1"/>
      </rPr>
      <t xml:space="preserve"> </t>
    </r>
    <r>
      <rPr>
        <rFont val="Arial"/>
        <b/>
        <color rgb="FFFF0000"/>
      </rPr>
      <t xml:space="preserve">tCAH </t>
    </r>
    <r>
      <rPr>
        <rFont val="Arial"/>
        <color theme="1"/>
      </rPr>
      <t>must be met</t>
    </r>
    <r>
      <rPr>
        <rFont val="Arial"/>
        <b/>
        <color theme="1"/>
      </rPr>
      <t xml:space="preserve"> for read cycles.</t>
    </r>
  </si>
  <si>
    <r>
      <rPr>
        <rFont val="Arial"/>
        <color theme="1"/>
      </rPr>
      <t xml:space="preserve">Read the read data bit into the OSR. </t>
    </r>
    <r>
      <rPr>
        <rFont val="Arial"/>
        <b/>
        <color rgb="FFFF0000"/>
      </rPr>
      <t>tRAC</t>
    </r>
    <r>
      <rPr>
        <rFont val="Arial"/>
        <color rgb="FFFF0000"/>
      </rPr>
      <t xml:space="preserve"> </t>
    </r>
    <r>
      <rPr>
        <rFont val="Arial"/>
        <color theme="1"/>
      </rPr>
      <t>must be met. In our configured write mode, Q will be garbage.</t>
    </r>
  </si>
  <si>
    <r>
      <rPr>
        <rFont val="Arial"/>
        <color theme="1"/>
      </rPr>
      <t xml:space="preserve">Raise CAS. </t>
    </r>
    <r>
      <rPr>
        <rFont val="Arial"/>
        <b/>
        <color rgb="FFFF0000"/>
      </rPr>
      <t xml:space="preserve">tCAS </t>
    </r>
    <r>
      <rPr>
        <rFont val="Arial"/>
        <color theme="1"/>
      </rPr>
      <t>must be met.</t>
    </r>
  </si>
  <si>
    <r>
      <rPr>
        <rFont val="Arial"/>
        <b/>
        <color rgb="FFFF0000"/>
      </rPr>
      <t>tRAS</t>
    </r>
    <r>
      <rPr>
        <rFont val="Arial"/>
        <b/>
        <color theme="1"/>
      </rPr>
      <t xml:space="preserve"> </t>
    </r>
    <r>
      <rPr>
        <rFont val="Arial"/>
        <b val="0"/>
        <color theme="1"/>
      </rPr>
      <t xml:space="preserve">and </t>
    </r>
    <r>
      <rPr>
        <rFont val="Arial"/>
        <b/>
        <color rgb="FF0000FF"/>
      </rPr>
      <t xml:space="preserve">tRC </t>
    </r>
    <r>
      <rPr>
        <rFont val="Arial"/>
        <b val="0"/>
        <color theme="1"/>
      </rPr>
      <t>must have been met.</t>
    </r>
  </si>
  <si>
    <r>
      <rPr>
        <rFont val="Arial"/>
        <color theme="1"/>
      </rPr>
      <t>Lower RAS.</t>
    </r>
    <r>
      <rPr>
        <rFont val="Arial"/>
        <b/>
        <color rgb="FFFF0000"/>
      </rPr>
      <t xml:space="preserve"> tRP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must be met. Start of </t>
    </r>
    <r>
      <rPr>
        <rFont val="Arial"/>
        <b/>
        <color theme="1"/>
      </rPr>
      <t xml:space="preserve">tRAC, tRAH, tRAS, tRCD and tWCR </t>
    </r>
    <r>
      <rPr>
        <rFont val="Arial"/>
        <color theme="1"/>
      </rPr>
      <t>timings</t>
    </r>
    <r>
      <rPr>
        <rFont val="Arial"/>
        <b/>
        <color theme="1"/>
      </rPr>
      <t>.</t>
    </r>
  </si>
  <si>
    <r>
      <rPr>
        <rFont val="Arial"/>
        <color theme="1"/>
      </rPr>
      <t>Set the column address and data bit. Setting the data bit now allows for early and late write scenarios.</t>
    </r>
    <r>
      <rPr>
        <rFont val="Arial"/>
        <b/>
        <color rgb="FFFF0000"/>
      </rPr>
      <t xml:space="preserve"> tRAH</t>
    </r>
    <r>
      <rPr>
        <rFont val="Arial"/>
        <b/>
        <color rgb="FF0000FF"/>
      </rPr>
      <t xml:space="preserve"> </t>
    </r>
    <r>
      <rPr>
        <rFont val="Arial"/>
        <color theme="1"/>
      </rPr>
      <t>must be met.</t>
    </r>
  </si>
  <si>
    <r>
      <rPr>
        <rFont val="Arial"/>
        <color theme="1"/>
      </rPr>
      <t xml:space="preserve">Lower WR and CAS </t>
    </r>
    <r>
      <rPr>
        <rFont val="Arial"/>
        <b/>
        <color theme="1"/>
      </rPr>
      <t xml:space="preserve">Start of tWP and tWCH and tCAS. </t>
    </r>
    <r>
      <rPr>
        <rFont val="Arial"/>
        <b/>
        <color rgb="FF0000FF"/>
      </rPr>
      <t>tCPN</t>
    </r>
    <r>
      <rPr>
        <rFont val="Arial"/>
        <color rgb="FF0000FF"/>
      </rPr>
      <t xml:space="preserve"> </t>
    </r>
    <r>
      <rPr>
        <rFont val="Arial"/>
        <color theme="1"/>
      </rPr>
      <t xml:space="preserve">must be met. </t>
    </r>
    <r>
      <rPr>
        <rFont val="Arial"/>
        <b/>
        <color theme="1"/>
      </rPr>
      <t>If we factor in transition timings, we are perhaps now in Late Write mode with indeterminate data out.</t>
    </r>
  </si>
  <si>
    <r>
      <rPr>
        <rFont val="Arial"/>
        <color theme="1"/>
      </rPr>
      <t xml:space="preserve">Lower CAS </t>
    </r>
    <r>
      <rPr>
        <rFont val="Arial"/>
        <b/>
        <color theme="1"/>
      </rPr>
      <t>Start of tCAH and tCAS.</t>
    </r>
    <r>
      <rPr>
        <rFont val="Arial"/>
        <b/>
        <color rgb="FFFF0000"/>
      </rPr>
      <t xml:space="preserve"> tRCD(min) </t>
    </r>
    <r>
      <rPr>
        <rFont val="Arial"/>
        <color theme="1"/>
      </rPr>
      <t xml:space="preserve">and </t>
    </r>
    <r>
      <rPr>
        <rFont val="Arial"/>
        <b/>
        <color rgb="FF0000FF"/>
      </rPr>
      <t>tCPN</t>
    </r>
    <r>
      <rPr>
        <rFont val="Arial"/>
        <b/>
        <color theme="1"/>
      </rPr>
      <t xml:space="preserve"> </t>
    </r>
    <r>
      <rPr>
        <rFont val="Arial"/>
        <color theme="1"/>
      </rPr>
      <t>must be met.</t>
    </r>
    <r>
      <rPr>
        <rFont val="Arial"/>
        <color rgb="FFC27BA0"/>
      </rPr>
      <t xml:space="preserve"> </t>
    </r>
    <r>
      <rPr>
        <rFont val="Arial"/>
        <b/>
        <color rgb="FFFF00FF"/>
      </rPr>
      <t>tRCD(max)</t>
    </r>
    <r>
      <rPr>
        <rFont val="Arial"/>
        <b/>
        <color rgb="FF980000"/>
      </rPr>
      <t xml:space="preserve"> </t>
    </r>
    <r>
      <rPr>
        <rFont val="Arial"/>
        <color theme="1"/>
      </rPr>
      <t>must</t>
    </r>
    <r>
      <rPr>
        <rFont val="Arial"/>
        <b/>
        <color theme="1"/>
      </rPr>
      <t xml:space="preserve"> </t>
    </r>
    <r>
      <rPr>
        <rFont val="Arial"/>
        <color theme="1"/>
      </rPr>
      <t>not (so that tRAC determines data availability later).</t>
    </r>
  </si>
  <si>
    <r>
      <rPr>
        <rFont val="Arial"/>
        <color theme="1"/>
      </rPr>
      <t xml:space="preserve">Raise WS. </t>
    </r>
    <r>
      <rPr>
        <rFont val="Arial"/>
        <b/>
        <color rgb="FFFF0000"/>
      </rPr>
      <t>tWP</t>
    </r>
    <r>
      <rPr>
        <rFont val="Arial"/>
        <color rgb="FFFF0000"/>
      </rPr>
      <t xml:space="preserve">, </t>
    </r>
    <r>
      <rPr>
        <rFont val="Arial"/>
        <b/>
        <color rgb="FF0000FF"/>
      </rPr>
      <t xml:space="preserve">tWCH </t>
    </r>
    <r>
      <rPr>
        <rFont val="Arial"/>
        <color theme="1"/>
      </rPr>
      <t xml:space="preserve">and </t>
    </r>
    <r>
      <rPr>
        <rFont val="Arial"/>
        <b/>
        <color rgb="FF9900FF"/>
      </rPr>
      <t xml:space="preserve">tWCR </t>
    </r>
    <r>
      <rPr>
        <rFont val="Arial"/>
        <color theme="1"/>
      </rPr>
      <t>must be met.</t>
    </r>
  </si>
  <si>
    <r>
      <rPr>
        <rFont val="Arial"/>
        <color theme="1"/>
      </rPr>
      <t>Clear column address and the write bit (we're OUTing all zeros to the pins).</t>
    </r>
    <r>
      <rPr>
        <rFont val="Arial"/>
        <b/>
        <color theme="1"/>
      </rPr>
      <t xml:space="preserve"> </t>
    </r>
    <r>
      <rPr>
        <rFont val="Arial"/>
        <b/>
        <color rgb="FFFF0000"/>
      </rPr>
      <t xml:space="preserve">tCAH </t>
    </r>
    <r>
      <rPr>
        <rFont val="Arial"/>
        <color theme="1"/>
      </rPr>
      <t>must be met</t>
    </r>
    <r>
      <rPr>
        <rFont val="Arial"/>
        <b/>
        <color theme="1"/>
      </rPr>
      <t xml:space="preserve"> for read cycles.</t>
    </r>
  </si>
  <si>
    <r>
      <rPr>
        <rFont val="Arial"/>
        <color theme="1"/>
      </rPr>
      <t xml:space="preserve">Read the read data bit into the OSR. </t>
    </r>
    <r>
      <rPr>
        <rFont val="Arial"/>
        <b/>
        <color rgb="FFFF0000"/>
      </rPr>
      <t>tRAC</t>
    </r>
    <r>
      <rPr>
        <rFont val="Arial"/>
        <color rgb="FFFF0000"/>
      </rPr>
      <t xml:space="preserve"> </t>
    </r>
    <r>
      <rPr>
        <rFont val="Arial"/>
        <color theme="1"/>
      </rPr>
      <t>must be met. In our configured write mode, Q will be garbage.</t>
    </r>
  </si>
  <si>
    <r>
      <rPr>
        <rFont val="Arial"/>
        <color theme="1"/>
      </rPr>
      <t xml:space="preserve">Raise CAS. </t>
    </r>
    <r>
      <rPr>
        <rFont val="Arial"/>
        <b/>
        <color rgb="FFFF0000"/>
      </rPr>
      <t xml:space="preserve">tCAS </t>
    </r>
    <r>
      <rPr>
        <rFont val="Arial"/>
        <color theme="1"/>
      </rPr>
      <t>must be met.</t>
    </r>
  </si>
  <si>
    <r>
      <rPr>
        <rFont val="Arial"/>
        <b/>
        <color rgb="FFFF0000"/>
      </rPr>
      <t>tRAS</t>
    </r>
    <r>
      <rPr>
        <rFont val="Arial"/>
        <b/>
        <color theme="1"/>
      </rPr>
      <t xml:space="preserve"> </t>
    </r>
    <r>
      <rPr>
        <rFont val="Arial"/>
        <b val="0"/>
        <color theme="1"/>
      </rPr>
      <t xml:space="preserve">and </t>
    </r>
    <r>
      <rPr>
        <rFont val="Arial"/>
        <b/>
        <color rgb="FF0000FF"/>
      </rPr>
      <t xml:space="preserve">tRC </t>
    </r>
    <r>
      <rPr>
        <rFont val="Arial"/>
        <b val="0"/>
        <color theme="1"/>
      </rPr>
      <t>must have been met.</t>
    </r>
  </si>
  <si>
    <r>
      <rPr>
        <rFont val="Arial"/>
        <color theme="1"/>
      </rPr>
      <t>Lower RAS.</t>
    </r>
    <r>
      <rPr>
        <rFont val="Arial"/>
        <b/>
        <color rgb="FFFF0000"/>
      </rPr>
      <t xml:space="preserve"> tRP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must be met. Start of </t>
    </r>
    <r>
      <rPr>
        <rFont val="Arial"/>
        <b/>
        <color theme="1"/>
      </rPr>
      <t xml:space="preserve">tRAC, tRAH, tRAS, tRCD and tWCR </t>
    </r>
    <r>
      <rPr>
        <rFont val="Arial"/>
        <color theme="1"/>
      </rPr>
      <t>timings</t>
    </r>
    <r>
      <rPr>
        <rFont val="Arial"/>
        <b/>
        <color theme="1"/>
      </rPr>
      <t>.</t>
    </r>
  </si>
  <si>
    <r>
      <rPr>
        <rFont val="Arial"/>
        <color theme="1"/>
      </rPr>
      <t>Set the column address and data bit. Setting the data bit now allows for early and late write scenarios.</t>
    </r>
    <r>
      <rPr>
        <rFont val="Arial"/>
        <b/>
        <color rgb="FFFF0000"/>
      </rPr>
      <t xml:space="preserve"> tRAH</t>
    </r>
    <r>
      <rPr>
        <rFont val="Arial"/>
        <b/>
        <color rgb="FF0000FF"/>
      </rPr>
      <t xml:space="preserve"> </t>
    </r>
    <r>
      <rPr>
        <rFont val="Arial"/>
        <color theme="1"/>
      </rPr>
      <t>must be met.</t>
    </r>
  </si>
  <si>
    <r>
      <rPr>
        <rFont val="Arial"/>
        <color theme="1"/>
      </rPr>
      <t xml:space="preserve">Lower WR and CAS </t>
    </r>
    <r>
      <rPr>
        <rFont val="Arial"/>
        <b/>
        <color theme="1"/>
      </rPr>
      <t xml:space="preserve">Start of tWP and tWCH and tCAS. </t>
    </r>
    <r>
      <rPr>
        <rFont val="Arial"/>
        <b/>
        <color rgb="FF0000FF"/>
      </rPr>
      <t>tCPN</t>
    </r>
    <r>
      <rPr>
        <rFont val="Arial"/>
        <color rgb="FF0000FF"/>
      </rPr>
      <t xml:space="preserve"> </t>
    </r>
    <r>
      <rPr>
        <rFont val="Arial"/>
        <color theme="1"/>
      </rPr>
      <t xml:space="preserve">must be met. </t>
    </r>
    <r>
      <rPr>
        <rFont val="Arial"/>
        <b/>
        <color theme="1"/>
      </rPr>
      <t>If we factor in transition timings, we are perhaps now in Late Write mode with indeterminate data out.</t>
    </r>
  </si>
  <si>
    <r>
      <rPr>
        <rFont val="Arial"/>
        <color theme="1"/>
      </rPr>
      <t xml:space="preserve">Lower CAS </t>
    </r>
    <r>
      <rPr>
        <rFont val="Arial"/>
        <b/>
        <color theme="1"/>
      </rPr>
      <t>Start of tCAH and tCAS.</t>
    </r>
    <r>
      <rPr>
        <rFont val="Arial"/>
        <b/>
        <color rgb="FFFF0000"/>
      </rPr>
      <t xml:space="preserve"> tRCD(min) </t>
    </r>
    <r>
      <rPr>
        <rFont val="Arial"/>
        <color theme="1"/>
      </rPr>
      <t xml:space="preserve">and </t>
    </r>
    <r>
      <rPr>
        <rFont val="Arial"/>
        <b/>
        <color rgb="FF0000FF"/>
      </rPr>
      <t>tCPN</t>
    </r>
    <r>
      <rPr>
        <rFont val="Arial"/>
        <b/>
        <color theme="1"/>
      </rPr>
      <t xml:space="preserve"> </t>
    </r>
    <r>
      <rPr>
        <rFont val="Arial"/>
        <color theme="1"/>
      </rPr>
      <t>must be met.</t>
    </r>
    <r>
      <rPr>
        <rFont val="Arial"/>
        <color rgb="FFC27BA0"/>
      </rPr>
      <t xml:space="preserve"> </t>
    </r>
    <r>
      <rPr>
        <rFont val="Arial"/>
        <b/>
        <color rgb="FFFF00FF"/>
      </rPr>
      <t>tRCD(max)</t>
    </r>
    <r>
      <rPr>
        <rFont val="Arial"/>
        <b/>
        <color rgb="FF980000"/>
      </rPr>
      <t xml:space="preserve"> </t>
    </r>
    <r>
      <rPr>
        <rFont val="Arial"/>
        <color theme="1"/>
      </rPr>
      <t>must</t>
    </r>
    <r>
      <rPr>
        <rFont val="Arial"/>
        <b/>
        <color theme="1"/>
      </rPr>
      <t xml:space="preserve"> </t>
    </r>
    <r>
      <rPr>
        <rFont val="Arial"/>
        <color theme="1"/>
      </rPr>
      <t>not (so that tRAC determines data availability later).</t>
    </r>
  </si>
  <si>
    <r>
      <rPr>
        <rFont val="Arial"/>
        <color theme="1"/>
      </rPr>
      <t xml:space="preserve">Raise WS. </t>
    </r>
    <r>
      <rPr>
        <rFont val="Arial"/>
        <b/>
        <color rgb="FFFF0000"/>
      </rPr>
      <t>tWP</t>
    </r>
    <r>
      <rPr>
        <rFont val="Arial"/>
        <color rgb="FFFF0000"/>
      </rPr>
      <t xml:space="preserve">, </t>
    </r>
    <r>
      <rPr>
        <rFont val="Arial"/>
        <b/>
        <color rgb="FF0000FF"/>
      </rPr>
      <t xml:space="preserve">tWCH </t>
    </r>
    <r>
      <rPr>
        <rFont val="Arial"/>
        <color theme="1"/>
      </rPr>
      <t xml:space="preserve">and </t>
    </r>
    <r>
      <rPr>
        <rFont val="Arial"/>
        <b/>
        <color rgb="FF9900FF"/>
      </rPr>
      <t xml:space="preserve">tWCR </t>
    </r>
    <r>
      <rPr>
        <rFont val="Arial"/>
        <color theme="1"/>
      </rPr>
      <t>must be met.</t>
    </r>
  </si>
  <si>
    <r>
      <rPr>
        <rFont val="Arial"/>
        <color theme="1"/>
      </rPr>
      <t>Clear column address and the write bit (we're OUTing all zeros to the pins).</t>
    </r>
    <r>
      <rPr>
        <rFont val="Arial"/>
        <b/>
        <color theme="1"/>
      </rPr>
      <t xml:space="preserve"> </t>
    </r>
    <r>
      <rPr>
        <rFont val="Arial"/>
        <b/>
        <color rgb="FFFF0000"/>
      </rPr>
      <t xml:space="preserve">tCAH </t>
    </r>
    <r>
      <rPr>
        <rFont val="Arial"/>
        <color theme="1"/>
      </rPr>
      <t>must be met</t>
    </r>
    <r>
      <rPr>
        <rFont val="Arial"/>
        <b/>
        <color theme="1"/>
      </rPr>
      <t xml:space="preserve"> for read cycles.</t>
    </r>
  </si>
  <si>
    <r>
      <rPr>
        <rFont val="Arial"/>
        <color theme="1"/>
      </rPr>
      <t xml:space="preserve">Read the read data bit into the OSR. </t>
    </r>
    <r>
      <rPr>
        <rFont val="Arial"/>
        <b/>
        <color rgb="FFFF0000"/>
      </rPr>
      <t>tRAC</t>
    </r>
    <r>
      <rPr>
        <rFont val="Arial"/>
        <color rgb="FFFF0000"/>
      </rPr>
      <t xml:space="preserve"> </t>
    </r>
    <r>
      <rPr>
        <rFont val="Arial"/>
        <color theme="1"/>
      </rPr>
      <t>must be met. In our configured write mode, Q will be garbage.</t>
    </r>
  </si>
  <si>
    <r>
      <rPr>
        <rFont val="Arial"/>
        <color theme="1"/>
      </rPr>
      <t xml:space="preserve">Raise CAS. </t>
    </r>
    <r>
      <rPr>
        <rFont val="Arial"/>
        <b/>
        <color rgb="FFFF0000"/>
      </rPr>
      <t xml:space="preserve">tCAS </t>
    </r>
    <r>
      <rPr>
        <rFont val="Arial"/>
        <color theme="1"/>
      </rPr>
      <t>must be met.</t>
    </r>
  </si>
  <si>
    <r>
      <rPr>
        <rFont val="Arial"/>
        <b/>
        <color rgb="FFFF0000"/>
      </rPr>
      <t>tRAS</t>
    </r>
    <r>
      <rPr>
        <rFont val="Arial"/>
        <b/>
        <color theme="1"/>
      </rPr>
      <t xml:space="preserve"> </t>
    </r>
    <r>
      <rPr>
        <rFont val="Arial"/>
        <b val="0"/>
        <color theme="1"/>
      </rPr>
      <t xml:space="preserve">and </t>
    </r>
    <r>
      <rPr>
        <rFont val="Arial"/>
        <b/>
        <color rgb="FF0000FF"/>
      </rPr>
      <t xml:space="preserve">tRC </t>
    </r>
    <r>
      <rPr>
        <rFont val="Arial"/>
        <b val="0"/>
        <color theme="1"/>
      </rPr>
      <t>must have been met.</t>
    </r>
  </si>
  <si>
    <r>
      <rPr>
        <rFont val="Arial"/>
        <color theme="1"/>
      </rPr>
      <t>Lower RAS.</t>
    </r>
    <r>
      <rPr>
        <rFont val="Arial"/>
        <b/>
        <color rgb="FFFF0000"/>
      </rPr>
      <t xml:space="preserve"> tRP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must be met. Start of </t>
    </r>
    <r>
      <rPr>
        <rFont val="Arial"/>
        <b/>
        <color theme="1"/>
      </rPr>
      <t xml:space="preserve">tRAC, tRAH, tRAS, tRCD and tWCR </t>
    </r>
    <r>
      <rPr>
        <rFont val="Arial"/>
        <color theme="1"/>
      </rPr>
      <t>timings</t>
    </r>
    <r>
      <rPr>
        <rFont val="Arial"/>
        <b/>
        <color theme="1"/>
      </rPr>
      <t>.</t>
    </r>
  </si>
  <si>
    <r>
      <rPr>
        <rFont val="Arial"/>
        <color theme="1"/>
      </rPr>
      <t>Set the column address and data bit. Setting the data bit now allows for early and late write scenarios.</t>
    </r>
    <r>
      <rPr>
        <rFont val="Arial"/>
        <b/>
        <color rgb="FFFF0000"/>
      </rPr>
      <t xml:space="preserve"> tRAH</t>
    </r>
    <r>
      <rPr>
        <rFont val="Arial"/>
        <b/>
        <color rgb="FF0000FF"/>
      </rPr>
      <t xml:space="preserve"> </t>
    </r>
    <r>
      <rPr>
        <rFont val="Arial"/>
        <color theme="1"/>
      </rPr>
      <t>must be met.</t>
    </r>
  </si>
  <si>
    <r>
      <rPr>
        <rFont val="Arial"/>
        <color theme="1"/>
      </rPr>
      <t xml:space="preserve">Lower WR and CAS </t>
    </r>
    <r>
      <rPr>
        <rFont val="Arial"/>
        <b/>
        <color theme="1"/>
      </rPr>
      <t xml:space="preserve">Start of tWP and tWCH and tCAS. </t>
    </r>
    <r>
      <rPr>
        <rFont val="Arial"/>
        <b/>
        <color rgb="FF0000FF"/>
      </rPr>
      <t>tCPN</t>
    </r>
    <r>
      <rPr>
        <rFont val="Arial"/>
        <color rgb="FF0000FF"/>
      </rPr>
      <t xml:space="preserve"> </t>
    </r>
    <r>
      <rPr>
        <rFont val="Arial"/>
        <color theme="1"/>
      </rPr>
      <t xml:space="preserve">must be met. </t>
    </r>
    <r>
      <rPr>
        <rFont val="Arial"/>
        <b/>
        <color theme="1"/>
      </rPr>
      <t>If we factor in transition timings, we are perhaps now in Late Write mode with indeterminate data out.</t>
    </r>
  </si>
  <si>
    <r>
      <rPr>
        <rFont val="Arial"/>
        <color theme="1"/>
      </rPr>
      <t xml:space="preserve">Lower CAS </t>
    </r>
    <r>
      <rPr>
        <rFont val="Arial"/>
        <b/>
        <color theme="1"/>
      </rPr>
      <t>Start of tCAH and tCAS.</t>
    </r>
    <r>
      <rPr>
        <rFont val="Arial"/>
        <b/>
        <color rgb="FFFF0000"/>
      </rPr>
      <t xml:space="preserve"> tRCD(min) </t>
    </r>
    <r>
      <rPr>
        <rFont val="Arial"/>
        <color theme="1"/>
      </rPr>
      <t xml:space="preserve">and </t>
    </r>
    <r>
      <rPr>
        <rFont val="Arial"/>
        <b/>
        <color rgb="FF0000FF"/>
      </rPr>
      <t>tCPN</t>
    </r>
    <r>
      <rPr>
        <rFont val="Arial"/>
        <b/>
        <color theme="1"/>
      </rPr>
      <t xml:space="preserve"> </t>
    </r>
    <r>
      <rPr>
        <rFont val="Arial"/>
        <color theme="1"/>
      </rPr>
      <t>must be met.</t>
    </r>
    <r>
      <rPr>
        <rFont val="Arial"/>
        <color rgb="FFC27BA0"/>
      </rPr>
      <t xml:space="preserve"> </t>
    </r>
    <r>
      <rPr>
        <rFont val="Arial"/>
        <b/>
        <color rgb="FFFF00FF"/>
      </rPr>
      <t>tRCD(max)</t>
    </r>
    <r>
      <rPr>
        <rFont val="Arial"/>
        <b/>
        <color rgb="FF980000"/>
      </rPr>
      <t xml:space="preserve"> </t>
    </r>
    <r>
      <rPr>
        <rFont val="Arial"/>
        <color theme="1"/>
      </rPr>
      <t>must</t>
    </r>
    <r>
      <rPr>
        <rFont val="Arial"/>
        <b/>
        <color theme="1"/>
      </rPr>
      <t xml:space="preserve"> </t>
    </r>
    <r>
      <rPr>
        <rFont val="Arial"/>
        <color theme="1"/>
      </rPr>
      <t>not (so that tRAC determines data availability later).</t>
    </r>
  </si>
  <si>
    <r>
      <rPr>
        <rFont val="Arial"/>
        <color theme="1"/>
      </rPr>
      <t xml:space="preserve">Raise WS. </t>
    </r>
    <r>
      <rPr>
        <rFont val="Arial"/>
        <b/>
        <color rgb="FFFF0000"/>
      </rPr>
      <t>tWP</t>
    </r>
    <r>
      <rPr>
        <rFont val="Arial"/>
        <color rgb="FFFF0000"/>
      </rPr>
      <t xml:space="preserve">, </t>
    </r>
    <r>
      <rPr>
        <rFont val="Arial"/>
        <b/>
        <color rgb="FF0000FF"/>
      </rPr>
      <t xml:space="preserve">tWCH </t>
    </r>
    <r>
      <rPr>
        <rFont val="Arial"/>
        <color theme="1"/>
      </rPr>
      <t xml:space="preserve">and </t>
    </r>
    <r>
      <rPr>
        <rFont val="Arial"/>
        <b/>
        <color rgb="FF9900FF"/>
      </rPr>
      <t xml:space="preserve">tWCR </t>
    </r>
    <r>
      <rPr>
        <rFont val="Arial"/>
        <color theme="1"/>
      </rPr>
      <t>must be met.</t>
    </r>
  </si>
  <si>
    <r>
      <rPr>
        <rFont val="Arial"/>
        <color theme="1"/>
      </rPr>
      <t>Clear column address and the write bit (we're OUTing all zeros to the pins).</t>
    </r>
    <r>
      <rPr>
        <rFont val="Arial"/>
        <b/>
        <color theme="1"/>
      </rPr>
      <t xml:space="preserve"> </t>
    </r>
    <r>
      <rPr>
        <rFont val="Arial"/>
        <b/>
        <color rgb="FFFF0000"/>
      </rPr>
      <t xml:space="preserve">tCAH </t>
    </r>
    <r>
      <rPr>
        <rFont val="Arial"/>
        <color theme="1"/>
      </rPr>
      <t>must be met</t>
    </r>
    <r>
      <rPr>
        <rFont val="Arial"/>
        <b/>
        <color theme="1"/>
      </rPr>
      <t xml:space="preserve"> for read cycles.</t>
    </r>
  </si>
  <si>
    <r>
      <rPr>
        <rFont val="Arial"/>
        <color theme="1"/>
      </rPr>
      <t xml:space="preserve">Read the read data bit into the OSR. </t>
    </r>
    <r>
      <rPr>
        <rFont val="Arial"/>
        <b/>
        <color rgb="FFFF0000"/>
      </rPr>
      <t>tRAC</t>
    </r>
    <r>
      <rPr>
        <rFont val="Arial"/>
        <color rgb="FFFF0000"/>
      </rPr>
      <t xml:space="preserve"> </t>
    </r>
    <r>
      <rPr>
        <rFont val="Arial"/>
        <color theme="1"/>
      </rPr>
      <t>must be met. In our configured write mode, Q will be garbage.</t>
    </r>
  </si>
  <si>
    <r>
      <rPr>
        <rFont val="Arial"/>
        <color theme="1"/>
      </rPr>
      <t xml:space="preserve">Raise CAS. </t>
    </r>
    <r>
      <rPr>
        <rFont val="Arial"/>
        <b/>
        <color rgb="FFFF0000"/>
      </rPr>
      <t xml:space="preserve">tCAS </t>
    </r>
    <r>
      <rPr>
        <rFont val="Arial"/>
        <color theme="1"/>
      </rPr>
      <t>must be met.</t>
    </r>
  </si>
  <si>
    <r>
      <rPr>
        <rFont val="Arial"/>
        <b/>
        <color rgb="FFFF0000"/>
      </rPr>
      <t>tRAS</t>
    </r>
    <r>
      <rPr>
        <rFont val="Arial"/>
        <b/>
        <color theme="1"/>
      </rPr>
      <t xml:space="preserve"> </t>
    </r>
    <r>
      <rPr>
        <rFont val="Arial"/>
        <b val="0"/>
        <color theme="1"/>
      </rPr>
      <t xml:space="preserve">and </t>
    </r>
    <r>
      <rPr>
        <rFont val="Arial"/>
        <b/>
        <color rgb="FF0000FF"/>
      </rPr>
      <t xml:space="preserve">tRC </t>
    </r>
    <r>
      <rPr>
        <rFont val="Arial"/>
        <b val="0"/>
        <color theme="1"/>
      </rPr>
      <t>must have been met.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</si>
</sst>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rgb="FFCCCCCC"/>
      <name val="Arial"/>
    </font>
    <font>
      <color rgb="FFCCCCCC"/>
      <name val="Arial"/>
    </font>
    <font>
      <color rgb="FFD9D9D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46" xfId="0" applyFont="1" applyNumberFormat="1"/>
    <xf quotePrefix="1" borderId="1" fillId="2" fontId="1" numFmtId="0" xfId="0" applyAlignment="1" applyBorder="1" applyFont="1">
      <alignment horizontal="center"/>
    </xf>
    <xf borderId="3" fillId="0" fontId="2" numFmtId="0" xfId="0" applyBorder="1" applyFont="1"/>
    <xf borderId="4" fillId="2" fontId="3" numFmtId="0" xfId="0" applyBorder="1" applyFont="1"/>
    <xf borderId="4" fillId="2" fontId="1" numFmtId="0" xfId="0" applyAlignment="1" applyBorder="1" applyFont="1">
      <alignment horizontal="right"/>
    </xf>
    <xf borderId="0" fillId="3" fontId="1" numFmtId="0" xfId="0" applyAlignment="1" applyFill="1" applyFont="1">
      <alignment horizontal="right"/>
    </xf>
    <xf borderId="4" fillId="2" fontId="1" numFmtId="0" xfId="0" applyBorder="1" applyFont="1"/>
    <xf borderId="2" fillId="2" fontId="1" numFmtId="0" xfId="0" applyAlignment="1" applyBorder="1" applyFont="1">
      <alignment horizontal="center"/>
    </xf>
    <xf borderId="4" fillId="0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4" fillId="0" fontId="3" numFmtId="0" xfId="0" applyBorder="1" applyFont="1"/>
    <xf borderId="2" fillId="0" fontId="3" numFmtId="164" xfId="0" applyBorder="1" applyFont="1" applyNumberFormat="1"/>
    <xf borderId="4" fillId="0" fontId="3" numFmtId="164" xfId="0" applyBorder="1" applyFont="1" applyNumberFormat="1"/>
    <xf borderId="4" fillId="2" fontId="3" numFmtId="0" xfId="0" applyAlignment="1" applyBorder="1" applyFont="1">
      <alignment horizontal="right"/>
    </xf>
    <xf borderId="4" fillId="0" fontId="1" numFmtId="0" xfId="0" applyBorder="1" applyFont="1"/>
    <xf borderId="2" fillId="0" fontId="1" numFmtId="164" xfId="0" applyBorder="1" applyFont="1" applyNumberFormat="1"/>
    <xf borderId="4" fillId="0" fontId="1" numFmtId="164" xfId="0" applyBorder="1" applyFont="1" applyNumberFormat="1"/>
    <xf borderId="4" fillId="0" fontId="3" numFmtId="0" xfId="0" applyAlignment="1" applyBorder="1" applyFont="1">
      <alignment horizontal="right" readingOrder="0"/>
    </xf>
    <xf borderId="1" fillId="2" fontId="3" numFmtId="0" xfId="0" applyAlignment="1" applyBorder="1" applyFont="1">
      <alignment horizontal="center"/>
    </xf>
    <xf borderId="2" fillId="0" fontId="4" numFmtId="164" xfId="0" applyBorder="1" applyFont="1" applyNumberFormat="1"/>
    <xf borderId="2" fillId="0" fontId="5" numFmtId="164" xfId="0" applyBorder="1" applyFont="1" applyNumberFormat="1"/>
    <xf borderId="2" fillId="0" fontId="6" numFmtId="164" xfId="0" applyBorder="1" applyFont="1" applyNumberFormat="1"/>
    <xf borderId="4" fillId="0" fontId="5" numFmtId="164" xfId="0" applyBorder="1" applyFont="1" applyNumberFormat="1"/>
    <xf borderId="2" fillId="3" fontId="6" numFmtId="164" xfId="0" applyBorder="1" applyFont="1" applyNumberFormat="1"/>
    <xf borderId="0" fillId="3" fontId="3" numFmtId="0" xfId="0" applyFont="1"/>
    <xf borderId="0" fillId="3" fontId="1" numFmtId="0" xfId="0" applyFont="1"/>
    <xf borderId="0" fillId="3" fontId="1" numFmtId="0" xfId="0" applyAlignment="1" applyFont="1">
      <alignment horizontal="center"/>
    </xf>
    <xf borderId="0" fillId="3" fontId="3" numFmtId="0" xfId="0" applyAlignment="1" applyFont="1">
      <alignment horizontal="right"/>
    </xf>
    <xf borderId="5" fillId="2" fontId="1" numFmtId="0" xfId="0" applyAlignment="1" applyBorder="1" applyFont="1">
      <alignment horizontal="center"/>
    </xf>
    <xf borderId="5" fillId="2" fontId="1" numFmtId="0" xfId="0" applyBorder="1" applyFont="1"/>
    <xf borderId="5" fillId="2" fontId="3" numFmtId="0" xfId="0" applyBorder="1" applyFont="1"/>
    <xf borderId="5" fillId="0" fontId="3" numFmtId="0" xfId="0" applyAlignment="1" applyBorder="1" applyFont="1">
      <alignment horizontal="right"/>
    </xf>
    <xf borderId="5" fillId="0" fontId="3" numFmtId="0" xfId="0" applyBorder="1" applyFont="1"/>
    <xf borderId="5" fillId="0" fontId="3" numFmtId="164" xfId="0" applyBorder="1" applyFont="1" applyNumberFormat="1"/>
    <xf borderId="4" fillId="0" fontId="4" numFmtId="164" xfId="0" applyBorder="1" applyFont="1" applyNumberFormat="1"/>
    <xf borderId="4" fillId="0" fontId="6" numFmtId="164" xfId="0" applyBorder="1" applyFont="1" applyNumberFormat="1"/>
    <xf borderId="4" fillId="3" fontId="6" numFmtId="164" xfId="0" applyBorder="1" applyFont="1" applyNumberForma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8.63"/>
    <col customWidth="1" min="3" max="3" width="5.25"/>
    <col customWidth="1" min="4" max="4" width="14.88"/>
    <col customWidth="1" min="5" max="5" width="19.88"/>
    <col customWidth="1" min="6" max="6" width="6.38"/>
    <col customWidth="1" min="7" max="7" width="11.38"/>
    <col customWidth="1" min="8" max="8" width="10.38"/>
    <col customWidth="1" min="9" max="9" width="141.63"/>
  </cols>
  <sheetData>
    <row r="1" ht="15.75" customHeight="1">
      <c r="H1" s="1"/>
      <c r="I1" s="1"/>
    </row>
    <row r="2" ht="15.75" customHeight="1">
      <c r="A2" s="2" t="s">
        <v>0</v>
      </c>
      <c r="B2" s="3"/>
      <c r="F2" s="4"/>
      <c r="G2" s="5" t="s">
        <v>1</v>
      </c>
      <c r="H2" s="6"/>
      <c r="I2" s="3"/>
    </row>
    <row r="3" ht="15.75" customHeight="1">
      <c r="A3" s="7" t="s">
        <v>2</v>
      </c>
      <c r="B3" s="8" t="s">
        <v>3</v>
      </c>
      <c r="C3" s="9"/>
      <c r="D3" s="8" t="s">
        <v>4</v>
      </c>
      <c r="E3" s="10" t="s">
        <v>5</v>
      </c>
      <c r="F3" s="10" t="s">
        <v>6</v>
      </c>
      <c r="G3" s="11" t="s">
        <v>7</v>
      </c>
      <c r="H3" s="10" t="s">
        <v>8</v>
      </c>
      <c r="I3" s="7" t="s">
        <v>9</v>
      </c>
    </row>
    <row r="4" ht="15.75" customHeight="1">
      <c r="A4" s="7">
        <v>0.0</v>
      </c>
      <c r="B4" s="12">
        <v>0.0</v>
      </c>
      <c r="C4" s="13"/>
      <c r="D4" s="12" t="s">
        <v>10</v>
      </c>
      <c r="E4" s="14" t="s">
        <v>11</v>
      </c>
      <c r="F4" s="14">
        <v>1.0</v>
      </c>
      <c r="G4" s="15">
        <f>H30</f>
        <v>16.665</v>
      </c>
      <c r="H4" s="16">
        <f t="shared" ref="H4:H24" si="1">G4+(offset($B$4,$F4,0)+1)*3.333</f>
        <v>19.998</v>
      </c>
      <c r="I4" s="14" t="s">
        <v>12</v>
      </c>
    </row>
    <row r="5" ht="15.75" customHeight="1">
      <c r="A5" s="17">
        <v>1.0</v>
      </c>
      <c r="B5" s="12">
        <v>0.0</v>
      </c>
      <c r="C5" s="13"/>
      <c r="D5" s="12"/>
      <c r="E5" s="14" t="s">
        <v>13</v>
      </c>
      <c r="F5" s="14">
        <v>2.0</v>
      </c>
      <c r="G5" s="15">
        <f t="shared" ref="G5:G24" si="2">H4</f>
        <v>19.998</v>
      </c>
      <c r="H5" s="16">
        <f t="shared" si="1"/>
        <v>79.992</v>
      </c>
      <c r="I5" s="14" t="s">
        <v>14</v>
      </c>
    </row>
    <row r="6" ht="15.75" customHeight="1">
      <c r="A6" s="17">
        <v>2.0</v>
      </c>
      <c r="B6" s="12">
        <v>17.0</v>
      </c>
      <c r="C6" s="13"/>
      <c r="D6" s="12"/>
      <c r="E6" s="14" t="s">
        <v>15</v>
      </c>
      <c r="F6" s="14">
        <v>0.0</v>
      </c>
      <c r="G6" s="15">
        <f t="shared" si="2"/>
        <v>79.992</v>
      </c>
      <c r="H6" s="16">
        <f t="shared" si="1"/>
        <v>83.325</v>
      </c>
      <c r="I6" s="14" t="s">
        <v>16</v>
      </c>
    </row>
    <row r="7" ht="15.75" customHeight="1">
      <c r="A7" s="17">
        <v>3.0</v>
      </c>
      <c r="B7" s="12">
        <v>4.0</v>
      </c>
      <c r="C7" s="13"/>
      <c r="D7" s="12"/>
      <c r="E7" s="18" t="s">
        <v>17</v>
      </c>
      <c r="F7" s="14">
        <v>0.0</v>
      </c>
      <c r="G7" s="19">
        <f t="shared" si="2"/>
        <v>83.325</v>
      </c>
      <c r="H7" s="20">
        <f t="shared" si="1"/>
        <v>86.658</v>
      </c>
      <c r="I7" s="14" t="s">
        <v>18</v>
      </c>
    </row>
    <row r="8" ht="15.75" customHeight="1">
      <c r="A8" s="17">
        <v>4.0</v>
      </c>
      <c r="B8" s="12">
        <v>10.0</v>
      </c>
      <c r="C8" s="13"/>
      <c r="D8" s="12"/>
      <c r="E8" s="14" t="s">
        <v>19</v>
      </c>
      <c r="F8" s="14">
        <v>3.0</v>
      </c>
      <c r="G8" s="15">
        <f t="shared" si="2"/>
        <v>86.658</v>
      </c>
      <c r="H8" s="16">
        <f t="shared" si="1"/>
        <v>103.323</v>
      </c>
      <c r="I8" s="14" t="s">
        <v>20</v>
      </c>
    </row>
    <row r="9" ht="15.75" customHeight="1">
      <c r="A9" s="17">
        <v>5.0</v>
      </c>
      <c r="B9" s="21">
        <v>4.0</v>
      </c>
      <c r="C9" s="13"/>
      <c r="D9" s="12" t="s">
        <v>21</v>
      </c>
      <c r="E9" s="18" t="s">
        <v>22</v>
      </c>
      <c r="F9" s="14">
        <v>0.0</v>
      </c>
      <c r="G9" s="19">
        <f t="shared" si="2"/>
        <v>103.323</v>
      </c>
      <c r="H9" s="16">
        <f t="shared" si="1"/>
        <v>106.656</v>
      </c>
      <c r="I9" s="14" t="s">
        <v>23</v>
      </c>
    </row>
    <row r="10" ht="15.75" customHeight="1">
      <c r="A10" s="17">
        <v>6.0</v>
      </c>
      <c r="B10" s="12">
        <v>0.0</v>
      </c>
      <c r="C10" s="13"/>
      <c r="D10" s="12"/>
      <c r="E10" s="14" t="s">
        <v>24</v>
      </c>
      <c r="F10" s="14">
        <v>0.0</v>
      </c>
      <c r="G10" s="15">
        <f t="shared" si="2"/>
        <v>106.656</v>
      </c>
      <c r="H10" s="16">
        <f t="shared" si="1"/>
        <v>109.989</v>
      </c>
      <c r="I10" s="14" t="s">
        <v>25</v>
      </c>
    </row>
    <row r="11" ht="15.75" customHeight="1">
      <c r="A11" s="17">
        <v>7.0</v>
      </c>
      <c r="B11" s="12">
        <v>0.0</v>
      </c>
      <c r="C11" s="13"/>
      <c r="D11" s="12"/>
      <c r="E11" s="14" t="s">
        <v>26</v>
      </c>
      <c r="F11" s="14">
        <v>0.0</v>
      </c>
      <c r="G11" s="19">
        <f t="shared" si="2"/>
        <v>109.989</v>
      </c>
      <c r="H11" s="20">
        <f t="shared" si="1"/>
        <v>113.322</v>
      </c>
      <c r="I11" s="14" t="s">
        <v>27</v>
      </c>
    </row>
    <row r="12" ht="15.75" customHeight="1">
      <c r="A12" s="13"/>
      <c r="B12" s="13"/>
      <c r="C12" s="13" t="s">
        <v>28</v>
      </c>
      <c r="D12" s="12"/>
      <c r="E12" s="14" t="s">
        <v>29</v>
      </c>
      <c r="F12" s="14">
        <v>0.0</v>
      </c>
      <c r="G12" s="15">
        <f t="shared" si="2"/>
        <v>113.322</v>
      </c>
      <c r="H12" s="16">
        <f t="shared" si="1"/>
        <v>116.655</v>
      </c>
      <c r="I12" s="14" t="s">
        <v>30</v>
      </c>
    </row>
    <row r="13" ht="15.75" customHeight="1">
      <c r="A13" s="22" t="s">
        <v>31</v>
      </c>
      <c r="B13" s="3"/>
      <c r="C13" s="13"/>
      <c r="D13" s="12" t="s">
        <v>32</v>
      </c>
      <c r="E13" s="18" t="s">
        <v>33</v>
      </c>
      <c r="F13" s="14">
        <v>0.0</v>
      </c>
      <c r="G13" s="23">
        <f t="shared" si="2"/>
        <v>116.655</v>
      </c>
      <c r="H13" s="20">
        <f t="shared" si="1"/>
        <v>119.988</v>
      </c>
      <c r="I13" s="14" t="s">
        <v>34</v>
      </c>
    </row>
    <row r="14" ht="15.75" customHeight="1">
      <c r="A14" s="17" t="s">
        <v>35</v>
      </c>
      <c r="B14" s="12">
        <v>80.0</v>
      </c>
      <c r="C14" s="13"/>
      <c r="D14" s="12"/>
      <c r="E14" s="14" t="s">
        <v>36</v>
      </c>
      <c r="F14" s="14">
        <v>0.0</v>
      </c>
      <c r="G14" s="24">
        <f t="shared" si="2"/>
        <v>119.988</v>
      </c>
      <c r="H14" s="16">
        <f t="shared" si="1"/>
        <v>123.321</v>
      </c>
      <c r="I14" s="14" t="s">
        <v>37</v>
      </c>
      <c r="N14" s="14"/>
    </row>
    <row r="15" ht="15.75" customHeight="1">
      <c r="A15" s="17" t="s">
        <v>38</v>
      </c>
      <c r="B15" s="12">
        <v>25.0</v>
      </c>
      <c r="C15" s="13"/>
      <c r="D15" s="12" t="s">
        <v>39</v>
      </c>
      <c r="E15" s="14" t="s">
        <v>40</v>
      </c>
      <c r="F15" s="14">
        <v>0.0</v>
      </c>
      <c r="G15" s="15">
        <f t="shared" si="2"/>
        <v>123.321</v>
      </c>
      <c r="H15" s="16">
        <f t="shared" si="1"/>
        <v>126.654</v>
      </c>
      <c r="I15" s="14" t="s">
        <v>41</v>
      </c>
    </row>
    <row r="16" ht="15.75" customHeight="1">
      <c r="A16" s="17" t="s">
        <v>42</v>
      </c>
      <c r="B16" s="12">
        <v>100.0</v>
      </c>
      <c r="C16" s="13"/>
      <c r="D16" s="12"/>
      <c r="E16" s="14" t="s">
        <v>43</v>
      </c>
      <c r="F16" s="14">
        <v>4.0</v>
      </c>
      <c r="G16" s="15">
        <f t="shared" si="2"/>
        <v>126.654</v>
      </c>
      <c r="H16" s="16">
        <f t="shared" si="1"/>
        <v>163.317</v>
      </c>
      <c r="I16" s="14" t="s">
        <v>44</v>
      </c>
    </row>
    <row r="17" ht="15.75" customHeight="1">
      <c r="A17" s="17" t="s">
        <v>45</v>
      </c>
      <c r="B17" s="12">
        <v>15.0</v>
      </c>
      <c r="C17" s="13"/>
      <c r="D17" s="12"/>
      <c r="E17" s="18" t="s">
        <v>33</v>
      </c>
      <c r="F17" s="14">
        <v>0.0</v>
      </c>
      <c r="G17" s="19">
        <f t="shared" si="2"/>
        <v>163.317</v>
      </c>
      <c r="H17" s="20">
        <f t="shared" si="1"/>
        <v>166.65</v>
      </c>
      <c r="I17" s="14" t="s">
        <v>46</v>
      </c>
    </row>
    <row r="18" ht="15.75" customHeight="1">
      <c r="A18" s="17" t="s">
        <v>47</v>
      </c>
      <c r="B18" s="12">
        <v>25.0</v>
      </c>
      <c r="C18" s="13"/>
      <c r="D18" s="12"/>
      <c r="E18" s="14" t="s">
        <v>22</v>
      </c>
      <c r="F18" s="14">
        <v>0.0</v>
      </c>
      <c r="G18" s="19">
        <f t="shared" si="2"/>
        <v>166.65</v>
      </c>
      <c r="H18" s="16">
        <f t="shared" si="1"/>
        <v>169.983</v>
      </c>
      <c r="I18" s="14" t="s">
        <v>48</v>
      </c>
    </row>
    <row r="19" ht="15.75" customHeight="1">
      <c r="A19" s="17" t="s">
        <v>49</v>
      </c>
      <c r="B19" s="12">
        <v>95.0</v>
      </c>
      <c r="C19" s="13"/>
      <c r="D19" s="12"/>
      <c r="E19" s="14" t="s">
        <v>50</v>
      </c>
      <c r="F19" s="14">
        <v>5.0</v>
      </c>
      <c r="G19" s="15">
        <f t="shared" si="2"/>
        <v>169.983</v>
      </c>
      <c r="H19" s="16">
        <f t="shared" si="1"/>
        <v>186.648</v>
      </c>
      <c r="I19" s="14" t="s">
        <v>51</v>
      </c>
    </row>
    <row r="20" ht="15.75" customHeight="1">
      <c r="A20" s="17" t="s">
        <v>52</v>
      </c>
      <c r="B20" s="12">
        <v>30.0</v>
      </c>
      <c r="C20" s="13"/>
      <c r="D20" s="12"/>
      <c r="E20" s="14" t="s">
        <v>53</v>
      </c>
      <c r="F20" s="14">
        <v>0.0</v>
      </c>
      <c r="G20" s="19">
        <f t="shared" si="2"/>
        <v>186.648</v>
      </c>
      <c r="H20" s="16">
        <f t="shared" si="1"/>
        <v>189.981</v>
      </c>
      <c r="I20" s="14" t="s">
        <v>54</v>
      </c>
    </row>
    <row r="21" ht="15.75" customHeight="1">
      <c r="A21" s="17" t="s">
        <v>55</v>
      </c>
      <c r="B21" s="14">
        <v>30.0</v>
      </c>
      <c r="C21" s="13"/>
      <c r="D21" s="12"/>
      <c r="E21" s="14" t="s">
        <v>17</v>
      </c>
      <c r="F21" s="14">
        <v>0.0</v>
      </c>
      <c r="G21" s="19">
        <f t="shared" si="2"/>
        <v>189.981</v>
      </c>
      <c r="H21" s="16">
        <f t="shared" si="1"/>
        <v>193.314</v>
      </c>
      <c r="I21" s="14" t="s">
        <v>56</v>
      </c>
    </row>
    <row r="22" ht="15.75" customHeight="1">
      <c r="A22" s="17" t="s">
        <v>57</v>
      </c>
      <c r="B22" s="12">
        <v>15.0</v>
      </c>
      <c r="C22" s="13"/>
      <c r="D22" s="12"/>
      <c r="E22" s="14" t="s">
        <v>58</v>
      </c>
      <c r="F22" s="14">
        <v>0.0</v>
      </c>
      <c r="G22" s="15">
        <f t="shared" si="2"/>
        <v>193.314</v>
      </c>
      <c r="H22" s="16">
        <f t="shared" si="1"/>
        <v>196.647</v>
      </c>
      <c r="I22" s="14"/>
    </row>
    <row r="23" ht="15.75" customHeight="1">
      <c r="A23" s="17" t="s">
        <v>59</v>
      </c>
      <c r="B23" s="12">
        <v>45.0</v>
      </c>
      <c r="C23" s="13"/>
      <c r="D23" s="12"/>
      <c r="E23" s="14" t="s">
        <v>60</v>
      </c>
      <c r="F23" s="14">
        <v>6.0</v>
      </c>
      <c r="G23" s="15">
        <f t="shared" si="2"/>
        <v>196.647</v>
      </c>
      <c r="H23" s="16">
        <f t="shared" si="1"/>
        <v>199.98</v>
      </c>
      <c r="I23" s="14" t="s">
        <v>61</v>
      </c>
    </row>
    <row r="24" ht="15.75" customHeight="1">
      <c r="A24" s="17" t="s">
        <v>62</v>
      </c>
      <c r="B24" s="12">
        <v>100.0</v>
      </c>
      <c r="C24" s="13"/>
      <c r="D24" s="12"/>
      <c r="E24" s="18" t="s">
        <v>63</v>
      </c>
      <c r="F24" s="14">
        <v>0.0</v>
      </c>
      <c r="G24" s="19">
        <f t="shared" si="2"/>
        <v>199.98</v>
      </c>
      <c r="H24" s="16">
        <f t="shared" si="1"/>
        <v>203.313</v>
      </c>
      <c r="I24" s="18" t="s">
        <v>64</v>
      </c>
    </row>
    <row r="25" ht="15.75" customHeight="1">
      <c r="A25" s="17" t="s">
        <v>65</v>
      </c>
      <c r="B25" s="12">
        <v>55.0</v>
      </c>
      <c r="C25" s="13"/>
      <c r="D25" s="12"/>
      <c r="E25" s="14" t="s">
        <v>66</v>
      </c>
      <c r="F25" s="14">
        <v>0.0</v>
      </c>
      <c r="G25" s="25">
        <v>0.0</v>
      </c>
      <c r="H25" s="26">
        <f>G25+3.333</f>
        <v>3.333</v>
      </c>
      <c r="I25" s="14"/>
    </row>
    <row r="26" ht="15.75" customHeight="1">
      <c r="A26" s="17" t="s">
        <v>67</v>
      </c>
      <c r="B26" s="12">
        <v>190.0</v>
      </c>
      <c r="C26" s="13"/>
      <c r="D26" s="12" t="s">
        <v>68</v>
      </c>
      <c r="E26" s="14" t="s">
        <v>69</v>
      </c>
      <c r="F26" s="14">
        <v>0.0</v>
      </c>
      <c r="G26" s="15">
        <v>0.0</v>
      </c>
      <c r="H26" s="16">
        <f t="shared" ref="H26:H30" si="3">G26+(offset($B$4,$F26,0)+1)*3.333</f>
        <v>3.333</v>
      </c>
      <c r="I26" s="14" t="s">
        <v>70</v>
      </c>
    </row>
    <row r="27" ht="15.75" customHeight="1">
      <c r="A27" s="17" t="s">
        <v>71</v>
      </c>
      <c r="B27" s="12">
        <v>215.0</v>
      </c>
      <c r="C27" s="13"/>
      <c r="D27" s="12" t="s">
        <v>72</v>
      </c>
      <c r="E27" s="14" t="s">
        <v>73</v>
      </c>
      <c r="F27" s="14">
        <v>0.0</v>
      </c>
      <c r="G27" s="15">
        <f t="shared" ref="G27:G30" si="4">H26</f>
        <v>3.333</v>
      </c>
      <c r="H27" s="16">
        <f t="shared" si="3"/>
        <v>6.666</v>
      </c>
      <c r="I27" s="14"/>
    </row>
    <row r="28" ht="15.75" customHeight="1">
      <c r="A28" s="17" t="s">
        <v>74</v>
      </c>
      <c r="B28" s="12">
        <v>75.0</v>
      </c>
      <c r="C28" s="13"/>
      <c r="D28" s="12"/>
      <c r="E28" s="14" t="s">
        <v>75</v>
      </c>
      <c r="F28" s="14">
        <v>0.0</v>
      </c>
      <c r="G28" s="15">
        <f t="shared" si="4"/>
        <v>6.666</v>
      </c>
      <c r="H28" s="16">
        <f t="shared" si="3"/>
        <v>9.999</v>
      </c>
      <c r="I28" s="14"/>
    </row>
    <row r="29" ht="15.75" customHeight="1">
      <c r="A29" s="17"/>
      <c r="B29" s="12"/>
      <c r="C29" s="13"/>
      <c r="D29" s="12"/>
      <c r="E29" s="14" t="s">
        <v>76</v>
      </c>
      <c r="F29" s="14">
        <v>0.0</v>
      </c>
      <c r="G29" s="15">
        <f t="shared" si="4"/>
        <v>9.999</v>
      </c>
      <c r="H29" s="16">
        <f t="shared" si="3"/>
        <v>13.332</v>
      </c>
      <c r="I29" s="14"/>
    </row>
    <row r="30" ht="15.75" customHeight="1">
      <c r="A30" s="17"/>
      <c r="B30" s="12"/>
      <c r="C30" s="13"/>
      <c r="D30" s="12"/>
      <c r="E30" s="14" t="s">
        <v>77</v>
      </c>
      <c r="F30" s="14">
        <v>0.0</v>
      </c>
      <c r="G30" s="15">
        <f t="shared" si="4"/>
        <v>13.332</v>
      </c>
      <c r="H30" s="16">
        <f t="shared" si="3"/>
        <v>16.665</v>
      </c>
      <c r="I30" s="14"/>
    </row>
    <row r="31" ht="15.75" customHeight="1">
      <c r="A31" s="17"/>
      <c r="B31" s="12"/>
      <c r="C31" s="13"/>
      <c r="D31" s="12"/>
      <c r="E31" s="14" t="s">
        <v>78</v>
      </c>
      <c r="F31" s="14">
        <v>7.0</v>
      </c>
      <c r="G31" s="27"/>
      <c r="H31" s="14"/>
      <c r="I31" s="14" t="s">
        <v>79</v>
      </c>
    </row>
    <row r="32" ht="15.75" customHeight="1">
      <c r="A32" s="17"/>
      <c r="B32" s="12"/>
      <c r="C32" s="13"/>
      <c r="D32" s="12"/>
      <c r="E32" s="14" t="s">
        <v>80</v>
      </c>
      <c r="F32" s="14">
        <v>0.0</v>
      </c>
      <c r="G32" s="27"/>
      <c r="H32" s="14"/>
      <c r="I32" s="14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5.75" customHeight="1">
      <c r="A34" s="29"/>
      <c r="B34" s="29"/>
      <c r="C34" s="29"/>
      <c r="D34" s="29"/>
      <c r="E34" s="30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5.75" customHeight="1">
      <c r="A43" s="28"/>
      <c r="B43" s="28"/>
      <c r="C43" s="28"/>
      <c r="D43" s="28"/>
      <c r="E43" s="31"/>
      <c r="F43" s="28"/>
      <c r="G43" s="31"/>
      <c r="H43" s="31"/>
      <c r="I43" s="31"/>
      <c r="J43" s="31"/>
      <c r="K43" s="31"/>
      <c r="L43" s="31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75" customHeight="1">
      <c r="A44" s="28"/>
      <c r="B44" s="28"/>
      <c r="C44" s="28"/>
      <c r="D44" s="28"/>
      <c r="E44" s="31"/>
      <c r="F44" s="31"/>
      <c r="G44" s="31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5.75" customHeight="1">
      <c r="A45" s="28"/>
      <c r="B45" s="28"/>
      <c r="C45" s="28"/>
      <c r="D45" s="28"/>
      <c r="E45" s="31"/>
      <c r="F45" s="31"/>
      <c r="G45" s="31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5.75" customHeight="1">
      <c r="A46" s="28"/>
      <c r="B46" s="28"/>
      <c r="C46" s="28"/>
      <c r="D46" s="28"/>
      <c r="E46" s="31"/>
      <c r="F46" s="31"/>
      <c r="G46" s="31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75" customHeight="1">
      <c r="A47" s="28"/>
      <c r="B47" s="28"/>
      <c r="C47" s="28"/>
      <c r="D47" s="28"/>
      <c r="E47" s="31"/>
      <c r="F47" s="31"/>
      <c r="G47" s="31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5.75" customHeight="1">
      <c r="A48" s="28"/>
      <c r="B48" s="28"/>
      <c r="C48" s="28"/>
      <c r="D48" s="28"/>
      <c r="E48" s="31"/>
      <c r="F48" s="31"/>
      <c r="G48" s="31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5.75" customHeight="1">
      <c r="A49" s="28"/>
      <c r="B49" s="28"/>
      <c r="C49" s="28"/>
      <c r="D49" s="28"/>
      <c r="E49" s="31"/>
      <c r="F49" s="31"/>
      <c r="G49" s="31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2"/>
    <mergeCell ref="G2:I2"/>
    <mergeCell ref="A13:B13"/>
    <mergeCell ref="E34:G34"/>
  </mergeCells>
  <conditionalFormatting sqref="G24">
    <cfRule type="expression" dxfId="0" priority="1">
      <formula> round($G$24 - $H$7, 1) &lt; VLOOKUP("tRAS",$A$14:$B$32, 2, False)</formula>
    </cfRule>
  </conditionalFormatting>
  <conditionalFormatting sqref="G24">
    <cfRule type="expression" dxfId="1" priority="2">
      <formula> round($G$24 - $H$26, 1) &lt; VLOOKUP("tRC",$A$14:$B$32, 2, False)</formula>
    </cfRule>
  </conditionalFormatting>
  <conditionalFormatting sqref="G13">
    <cfRule type="expression" dxfId="0" priority="3">
      <formula>round($G$13-$H$7, 1) &lt; VLOOKUP("tRCD(min)",$A$14:$B$32,2,false)</formula>
    </cfRule>
  </conditionalFormatting>
  <conditionalFormatting sqref="G13">
    <cfRule type="expression" dxfId="1" priority="4">
      <formula>round($G$13-$H$26,1) &lt; VLOOKUP("tCPN",$A$14:$B$32,2,False)</formula>
    </cfRule>
  </conditionalFormatting>
  <conditionalFormatting sqref="G13">
    <cfRule type="expression" dxfId="2" priority="5">
      <formula>round($G$13-$H$7, 1) &gt;= VLOOKUP("tRCD(max)",$A$14:$B$32,2,false)</formula>
    </cfRule>
  </conditionalFormatting>
  <conditionalFormatting sqref="G18">
    <cfRule type="expression" dxfId="0" priority="6">
      <formula> round($G$18 - $H$11, 1) &lt; VLOOKUP("tCAH",$A$14:$B$26,2,False)</formula>
    </cfRule>
  </conditionalFormatting>
  <conditionalFormatting sqref="G7">
    <cfRule type="expression" dxfId="0" priority="7">
      <formula>round($G$7-$H$26,1) &lt; VLOOKUP("tRP",$A$14:$B$32,2,False)</formula>
    </cfRule>
  </conditionalFormatting>
  <conditionalFormatting sqref="G9">
    <cfRule type="expression" dxfId="0" priority="8">
      <formula> round($G$9 - $H$7, 1) &lt; VLOOKUP("tRAH",$A$14:$B$32,2,False)</formula>
    </cfRule>
  </conditionalFormatting>
  <conditionalFormatting sqref="G17">
    <cfRule type="expression" dxfId="0" priority="9">
      <formula> round($G$17 - $H$11, 1) &lt; VLOOKUP("tWP",$A$14:$B$32,2,False)</formula>
    </cfRule>
  </conditionalFormatting>
  <conditionalFormatting sqref="G11">
    <cfRule type="expression" dxfId="1" priority="10">
      <formula>round($G$11-$H$26,1) &lt; VLOOKUP("tCPN",$A$14:$B$32,2,False)</formula>
    </cfRule>
  </conditionalFormatting>
  <conditionalFormatting sqref="G18">
    <cfRule type="expression" dxfId="0" priority="11">
      <formula> round($G$18 - $H$13, 1) &lt; VLOOKUP("tCAH",$A$14:$B$26,2,False)</formula>
    </cfRule>
  </conditionalFormatting>
  <conditionalFormatting sqref="G20">
    <cfRule type="expression" dxfId="0" priority="12">
      <formula> round($G$20 - $H$7, 1) &lt; VLOOKUP("tRAC",$A$14:$B$26,2,False)</formula>
    </cfRule>
  </conditionalFormatting>
  <conditionalFormatting sqref="G17">
    <cfRule type="expression" dxfId="1" priority="13">
      <formula> round($G$17 - $H$11, 1) &lt; VLOOKUP("tWCH",$A$14:$B$32,2,False)</formula>
    </cfRule>
  </conditionalFormatting>
  <conditionalFormatting sqref="G21">
    <cfRule type="expression" dxfId="0" priority="14">
      <formula>round($G$21 - $H$13, 1) &lt; vlookup("tCAS", $A$14:$B$32, 2, False)</formula>
    </cfRule>
  </conditionalFormatting>
  <conditionalFormatting sqref="G17">
    <cfRule type="expression" dxfId="3" priority="15">
      <formula> round($G$17 - $H$7, 1) &lt; VLOOKUP("tWCR",$A$14:$B$32,2,False)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8.63"/>
    <col customWidth="1" min="3" max="3" width="5.25"/>
    <col customWidth="1" min="4" max="4" width="14.88"/>
    <col customWidth="1" min="5" max="5" width="19.88"/>
    <col customWidth="1" min="6" max="6" width="6.38"/>
    <col customWidth="1" min="7" max="7" width="11.38"/>
    <col customWidth="1" min="8" max="8" width="10.38"/>
    <col customWidth="1" min="9" max="9" width="141.63"/>
  </cols>
  <sheetData>
    <row r="1" ht="15.75" customHeight="1">
      <c r="H1" s="1"/>
      <c r="I1" s="1"/>
    </row>
    <row r="2" ht="15.75" customHeight="1">
      <c r="A2" s="2" t="s">
        <v>0</v>
      </c>
      <c r="B2" s="3"/>
      <c r="F2" s="4"/>
      <c r="G2" s="5" t="s">
        <v>1</v>
      </c>
      <c r="H2" s="6"/>
      <c r="I2" s="3"/>
    </row>
    <row r="3" ht="15.75" customHeight="1">
      <c r="A3" s="7" t="s">
        <v>2</v>
      </c>
      <c r="B3" s="8" t="s">
        <v>3</v>
      </c>
      <c r="C3" s="9"/>
      <c r="D3" s="8" t="s">
        <v>4</v>
      </c>
      <c r="E3" s="10" t="s">
        <v>5</v>
      </c>
      <c r="F3" s="10" t="s">
        <v>6</v>
      </c>
      <c r="G3" s="11" t="s">
        <v>7</v>
      </c>
      <c r="H3" s="10" t="s">
        <v>8</v>
      </c>
      <c r="I3" s="7" t="s">
        <v>9</v>
      </c>
    </row>
    <row r="4" ht="15.75" customHeight="1">
      <c r="A4" s="7">
        <v>0.0</v>
      </c>
      <c r="B4" s="12">
        <v>0.0</v>
      </c>
      <c r="C4" s="13"/>
      <c r="D4" s="12" t="s">
        <v>10</v>
      </c>
      <c r="E4" s="14" t="s">
        <v>11</v>
      </c>
      <c r="F4" s="14">
        <v>1.0</v>
      </c>
      <c r="G4" s="15">
        <f>H30</f>
        <v>16.665</v>
      </c>
      <c r="H4" s="16">
        <f t="shared" ref="H4:H24" si="1">G4+(offset($B$4,$F4,0)+1)*3.333</f>
        <v>19.998</v>
      </c>
      <c r="I4" s="14" t="s">
        <v>12</v>
      </c>
    </row>
    <row r="5" ht="15.75" customHeight="1">
      <c r="A5" s="17">
        <v>1.0</v>
      </c>
      <c r="B5" s="12">
        <v>0.0</v>
      </c>
      <c r="C5" s="13"/>
      <c r="D5" s="12"/>
      <c r="E5" s="14" t="s">
        <v>13</v>
      </c>
      <c r="F5" s="14">
        <v>2.0</v>
      </c>
      <c r="G5" s="15">
        <f t="shared" ref="G5:G24" si="2">H4</f>
        <v>19.998</v>
      </c>
      <c r="H5" s="16">
        <f t="shared" si="1"/>
        <v>89.991</v>
      </c>
      <c r="I5" s="14" t="s">
        <v>14</v>
      </c>
    </row>
    <row r="6" ht="15.75" customHeight="1">
      <c r="A6" s="17">
        <v>2.0</v>
      </c>
      <c r="B6" s="12">
        <v>20.0</v>
      </c>
      <c r="C6" s="13"/>
      <c r="D6" s="12"/>
      <c r="E6" s="14" t="s">
        <v>15</v>
      </c>
      <c r="F6" s="14">
        <v>0.0</v>
      </c>
      <c r="G6" s="15">
        <f t="shared" si="2"/>
        <v>89.991</v>
      </c>
      <c r="H6" s="16">
        <f t="shared" si="1"/>
        <v>93.324</v>
      </c>
      <c r="I6" s="14" t="s">
        <v>16</v>
      </c>
    </row>
    <row r="7" ht="15.75" customHeight="1">
      <c r="A7" s="17">
        <v>3.0</v>
      </c>
      <c r="B7" s="12">
        <v>5.0</v>
      </c>
      <c r="C7" s="13"/>
      <c r="D7" s="12"/>
      <c r="E7" s="18" t="s">
        <v>17</v>
      </c>
      <c r="F7" s="14">
        <v>0.0</v>
      </c>
      <c r="G7" s="19">
        <f t="shared" si="2"/>
        <v>93.324</v>
      </c>
      <c r="H7" s="20">
        <f t="shared" si="1"/>
        <v>96.657</v>
      </c>
      <c r="I7" s="14" t="s">
        <v>81</v>
      </c>
    </row>
    <row r="8" ht="15.75" customHeight="1">
      <c r="A8" s="17">
        <v>4.0</v>
      </c>
      <c r="B8" s="12">
        <v>15.0</v>
      </c>
      <c r="C8" s="13"/>
      <c r="D8" s="12"/>
      <c r="E8" s="14" t="s">
        <v>19</v>
      </c>
      <c r="F8" s="14">
        <v>3.0</v>
      </c>
      <c r="G8" s="15">
        <f t="shared" si="2"/>
        <v>96.657</v>
      </c>
      <c r="H8" s="16">
        <f t="shared" si="1"/>
        <v>116.655</v>
      </c>
      <c r="I8" s="14" t="s">
        <v>20</v>
      </c>
    </row>
    <row r="9" ht="15.75" customHeight="1">
      <c r="A9" s="17">
        <v>5.0</v>
      </c>
      <c r="B9" s="12">
        <v>4.0</v>
      </c>
      <c r="C9" s="13"/>
      <c r="D9" s="12" t="s">
        <v>21</v>
      </c>
      <c r="E9" s="18" t="s">
        <v>22</v>
      </c>
      <c r="F9" s="14">
        <v>0.0</v>
      </c>
      <c r="G9" s="19">
        <f t="shared" si="2"/>
        <v>116.655</v>
      </c>
      <c r="H9" s="16">
        <f t="shared" si="1"/>
        <v>119.988</v>
      </c>
      <c r="I9" s="14" t="s">
        <v>82</v>
      </c>
    </row>
    <row r="10" ht="15.75" customHeight="1">
      <c r="A10" s="17">
        <v>6.0</v>
      </c>
      <c r="B10" s="12">
        <v>0.0</v>
      </c>
      <c r="C10" s="13"/>
      <c r="D10" s="12"/>
      <c r="E10" s="14" t="s">
        <v>24</v>
      </c>
      <c r="F10" s="14">
        <v>0.0</v>
      </c>
      <c r="G10" s="15">
        <f t="shared" si="2"/>
        <v>119.988</v>
      </c>
      <c r="H10" s="16">
        <f t="shared" si="1"/>
        <v>123.321</v>
      </c>
      <c r="I10" s="14" t="s">
        <v>25</v>
      </c>
    </row>
    <row r="11" ht="15.75" customHeight="1">
      <c r="A11" s="17">
        <v>7.0</v>
      </c>
      <c r="B11" s="12">
        <v>0.0</v>
      </c>
      <c r="C11" s="13"/>
      <c r="D11" s="12"/>
      <c r="E11" s="14" t="s">
        <v>26</v>
      </c>
      <c r="F11" s="14">
        <v>0.0</v>
      </c>
      <c r="G11" s="19">
        <f t="shared" si="2"/>
        <v>123.321</v>
      </c>
      <c r="H11" s="20">
        <f t="shared" si="1"/>
        <v>126.654</v>
      </c>
      <c r="I11" s="14" t="s">
        <v>83</v>
      </c>
    </row>
    <row r="12" ht="15.75" customHeight="1">
      <c r="A12" s="13"/>
      <c r="B12" s="13"/>
      <c r="C12" s="13" t="s">
        <v>28</v>
      </c>
      <c r="D12" s="12"/>
      <c r="E12" s="14" t="s">
        <v>29</v>
      </c>
      <c r="F12" s="14">
        <v>0.0</v>
      </c>
      <c r="G12" s="15">
        <f t="shared" si="2"/>
        <v>126.654</v>
      </c>
      <c r="H12" s="16">
        <f t="shared" si="1"/>
        <v>129.987</v>
      </c>
      <c r="I12" s="14" t="s">
        <v>30</v>
      </c>
    </row>
    <row r="13" ht="15.75" customHeight="1">
      <c r="A13" s="22" t="s">
        <v>31</v>
      </c>
      <c r="B13" s="3"/>
      <c r="C13" s="13"/>
      <c r="D13" s="12" t="s">
        <v>32</v>
      </c>
      <c r="E13" s="18" t="s">
        <v>33</v>
      </c>
      <c r="F13" s="14">
        <v>0.0</v>
      </c>
      <c r="G13" s="23">
        <f t="shared" si="2"/>
        <v>129.987</v>
      </c>
      <c r="H13" s="20">
        <f t="shared" si="1"/>
        <v>133.32</v>
      </c>
      <c r="I13" s="14" t="s">
        <v>84</v>
      </c>
    </row>
    <row r="14" ht="15.75" customHeight="1">
      <c r="A14" s="17" t="s">
        <v>35</v>
      </c>
      <c r="B14" s="12">
        <v>90.0</v>
      </c>
      <c r="C14" s="13"/>
      <c r="D14" s="12"/>
      <c r="E14" s="14" t="s">
        <v>36</v>
      </c>
      <c r="F14" s="14">
        <v>0.0</v>
      </c>
      <c r="G14" s="24">
        <f t="shared" si="2"/>
        <v>133.32</v>
      </c>
      <c r="H14" s="16">
        <f t="shared" si="1"/>
        <v>136.653</v>
      </c>
      <c r="I14" s="14" t="s">
        <v>37</v>
      </c>
    </row>
    <row r="15" ht="15.75" customHeight="1">
      <c r="A15" s="17" t="s">
        <v>38</v>
      </c>
      <c r="B15" s="12">
        <v>25.0</v>
      </c>
      <c r="C15" s="13"/>
      <c r="D15" s="12" t="s">
        <v>39</v>
      </c>
      <c r="E15" s="14" t="s">
        <v>40</v>
      </c>
      <c r="F15" s="14">
        <v>0.0</v>
      </c>
      <c r="G15" s="15">
        <f t="shared" si="2"/>
        <v>136.653</v>
      </c>
      <c r="H15" s="16">
        <f t="shared" si="1"/>
        <v>139.986</v>
      </c>
      <c r="I15" s="14" t="s">
        <v>41</v>
      </c>
    </row>
    <row r="16" ht="15.75" customHeight="1">
      <c r="A16" s="17" t="s">
        <v>42</v>
      </c>
      <c r="B16" s="12">
        <v>120.0</v>
      </c>
      <c r="C16" s="13"/>
      <c r="D16" s="12"/>
      <c r="E16" s="14" t="s">
        <v>43</v>
      </c>
      <c r="F16" s="14">
        <v>4.0</v>
      </c>
      <c r="G16" s="15">
        <f t="shared" si="2"/>
        <v>139.986</v>
      </c>
      <c r="H16" s="16">
        <f t="shared" si="1"/>
        <v>193.314</v>
      </c>
      <c r="I16" s="14" t="s">
        <v>44</v>
      </c>
    </row>
    <row r="17" ht="15.75" customHeight="1">
      <c r="A17" s="17" t="s">
        <v>45</v>
      </c>
      <c r="B17" s="12">
        <v>18.0</v>
      </c>
      <c r="C17" s="13"/>
      <c r="D17" s="12"/>
      <c r="E17" s="18" t="s">
        <v>33</v>
      </c>
      <c r="F17" s="14">
        <v>0.0</v>
      </c>
      <c r="G17" s="19">
        <f t="shared" si="2"/>
        <v>193.314</v>
      </c>
      <c r="H17" s="20">
        <f t="shared" si="1"/>
        <v>196.647</v>
      </c>
      <c r="I17" s="14" t="s">
        <v>85</v>
      </c>
    </row>
    <row r="18" ht="15.75" customHeight="1">
      <c r="A18" s="17" t="s">
        <v>47</v>
      </c>
      <c r="B18" s="12">
        <v>30.0</v>
      </c>
      <c r="C18" s="13"/>
      <c r="D18" s="12"/>
      <c r="E18" s="14" t="s">
        <v>22</v>
      </c>
      <c r="F18" s="14">
        <v>0.0</v>
      </c>
      <c r="G18" s="19">
        <f t="shared" si="2"/>
        <v>196.647</v>
      </c>
      <c r="H18" s="16">
        <f t="shared" si="1"/>
        <v>199.98</v>
      </c>
      <c r="I18" s="14" t="s">
        <v>86</v>
      </c>
    </row>
    <row r="19" ht="15.75" customHeight="1">
      <c r="A19" s="17" t="s">
        <v>49</v>
      </c>
      <c r="B19" s="12">
        <v>115.0</v>
      </c>
      <c r="C19" s="13"/>
      <c r="D19" s="12"/>
      <c r="E19" s="14" t="s">
        <v>50</v>
      </c>
      <c r="F19" s="14">
        <v>5.0</v>
      </c>
      <c r="G19" s="15">
        <f t="shared" si="2"/>
        <v>199.98</v>
      </c>
      <c r="H19" s="16">
        <f t="shared" si="1"/>
        <v>216.645</v>
      </c>
      <c r="I19" s="14" t="s">
        <v>51</v>
      </c>
    </row>
    <row r="20" ht="15.75" customHeight="1">
      <c r="A20" s="17" t="s">
        <v>52</v>
      </c>
      <c r="B20" s="12">
        <v>35.0</v>
      </c>
      <c r="C20" s="13"/>
      <c r="D20" s="12"/>
      <c r="E20" s="14" t="s">
        <v>53</v>
      </c>
      <c r="F20" s="14">
        <v>0.0</v>
      </c>
      <c r="G20" s="19">
        <f t="shared" si="2"/>
        <v>216.645</v>
      </c>
      <c r="H20" s="16">
        <f t="shared" si="1"/>
        <v>219.978</v>
      </c>
      <c r="I20" s="14" t="s">
        <v>87</v>
      </c>
    </row>
    <row r="21" ht="15.75" customHeight="1">
      <c r="A21" s="17" t="s">
        <v>55</v>
      </c>
      <c r="B21" s="14">
        <v>35.0</v>
      </c>
      <c r="C21" s="13"/>
      <c r="D21" s="12"/>
      <c r="E21" s="14" t="s">
        <v>17</v>
      </c>
      <c r="F21" s="14">
        <v>0.0</v>
      </c>
      <c r="G21" s="19">
        <f t="shared" si="2"/>
        <v>219.978</v>
      </c>
      <c r="H21" s="16">
        <f t="shared" si="1"/>
        <v>223.311</v>
      </c>
      <c r="I21" s="14" t="s">
        <v>88</v>
      </c>
    </row>
    <row r="22" ht="15.75" customHeight="1">
      <c r="A22" s="17" t="s">
        <v>57</v>
      </c>
      <c r="B22" s="12">
        <v>20.0</v>
      </c>
      <c r="C22" s="13"/>
      <c r="D22" s="12"/>
      <c r="E22" s="14" t="s">
        <v>58</v>
      </c>
      <c r="F22" s="14">
        <v>0.0</v>
      </c>
      <c r="G22" s="15">
        <f t="shared" si="2"/>
        <v>223.311</v>
      </c>
      <c r="H22" s="16">
        <f t="shared" si="1"/>
        <v>226.644</v>
      </c>
      <c r="I22" s="14"/>
    </row>
    <row r="23" ht="15.75" customHeight="1">
      <c r="A23" s="17" t="s">
        <v>59</v>
      </c>
      <c r="B23" s="12">
        <v>60.0</v>
      </c>
      <c r="C23" s="13"/>
      <c r="D23" s="12"/>
      <c r="E23" s="14" t="s">
        <v>60</v>
      </c>
      <c r="F23" s="14">
        <v>6.0</v>
      </c>
      <c r="G23" s="15">
        <f t="shared" si="2"/>
        <v>226.644</v>
      </c>
      <c r="H23" s="16">
        <f t="shared" si="1"/>
        <v>229.977</v>
      </c>
      <c r="I23" s="14" t="s">
        <v>61</v>
      </c>
    </row>
    <row r="24" ht="15.75" customHeight="1">
      <c r="A24" s="17" t="s">
        <v>62</v>
      </c>
      <c r="B24" s="12">
        <v>120.0</v>
      </c>
      <c r="C24" s="13"/>
      <c r="D24" s="12"/>
      <c r="E24" s="18" t="s">
        <v>63</v>
      </c>
      <c r="F24" s="14">
        <v>0.0</v>
      </c>
      <c r="G24" s="19">
        <f t="shared" si="2"/>
        <v>229.977</v>
      </c>
      <c r="H24" s="16">
        <f t="shared" si="1"/>
        <v>233.31</v>
      </c>
      <c r="I24" s="18" t="s">
        <v>89</v>
      </c>
    </row>
    <row r="25" ht="15.75" customHeight="1">
      <c r="A25" s="17" t="s">
        <v>65</v>
      </c>
      <c r="B25" s="12">
        <v>60.0</v>
      </c>
      <c r="C25" s="13"/>
      <c r="D25" s="12"/>
      <c r="E25" s="14" t="s">
        <v>66</v>
      </c>
      <c r="F25" s="14">
        <v>0.0</v>
      </c>
      <c r="G25" s="25">
        <v>0.0</v>
      </c>
      <c r="H25" s="26">
        <f>G25+3.333</f>
        <v>3.333</v>
      </c>
      <c r="I25" s="14"/>
    </row>
    <row r="26" ht="15.75" customHeight="1">
      <c r="A26" s="17" t="s">
        <v>67</v>
      </c>
      <c r="B26" s="12">
        <v>220.0</v>
      </c>
      <c r="C26" s="13"/>
      <c r="D26" s="12" t="s">
        <v>68</v>
      </c>
      <c r="E26" s="14" t="s">
        <v>69</v>
      </c>
      <c r="F26" s="14">
        <v>0.0</v>
      </c>
      <c r="G26" s="15">
        <v>0.0</v>
      </c>
      <c r="H26" s="16">
        <f t="shared" ref="H26:H30" si="3">G26+(offset($B$4,$F26,0)+1)*3.333</f>
        <v>3.333</v>
      </c>
      <c r="I26" s="14" t="s">
        <v>70</v>
      </c>
    </row>
    <row r="27" ht="15.75" customHeight="1">
      <c r="A27" s="17" t="s">
        <v>71</v>
      </c>
      <c r="B27" s="12">
        <v>255.0</v>
      </c>
      <c r="C27" s="13"/>
      <c r="D27" s="12" t="s">
        <v>72</v>
      </c>
      <c r="E27" s="14" t="s">
        <v>73</v>
      </c>
      <c r="F27" s="14">
        <v>0.0</v>
      </c>
      <c r="G27" s="15">
        <f t="shared" ref="G27:G30" si="4">H26</f>
        <v>3.333</v>
      </c>
      <c r="H27" s="16">
        <f t="shared" si="3"/>
        <v>6.666</v>
      </c>
      <c r="I27" s="14"/>
    </row>
    <row r="28" ht="15.75" customHeight="1">
      <c r="A28" s="17" t="s">
        <v>74</v>
      </c>
      <c r="B28" s="12">
        <v>95.0</v>
      </c>
      <c r="C28" s="13"/>
      <c r="D28" s="12"/>
      <c r="E28" s="14" t="s">
        <v>75</v>
      </c>
      <c r="F28" s="14">
        <v>0.0</v>
      </c>
      <c r="G28" s="15">
        <f t="shared" si="4"/>
        <v>6.666</v>
      </c>
      <c r="H28" s="16">
        <f t="shared" si="3"/>
        <v>9.999</v>
      </c>
      <c r="I28" s="14"/>
    </row>
    <row r="29" ht="15.75" customHeight="1">
      <c r="A29" s="17"/>
      <c r="B29" s="12"/>
      <c r="C29" s="13"/>
      <c r="D29" s="12"/>
      <c r="E29" s="14" t="s">
        <v>76</v>
      </c>
      <c r="F29" s="14">
        <v>0.0</v>
      </c>
      <c r="G29" s="15">
        <f t="shared" si="4"/>
        <v>9.999</v>
      </c>
      <c r="H29" s="16">
        <f t="shared" si="3"/>
        <v>13.332</v>
      </c>
      <c r="I29" s="14"/>
    </row>
    <row r="30" ht="15.75" customHeight="1">
      <c r="A30" s="17"/>
      <c r="B30" s="12"/>
      <c r="C30" s="13"/>
      <c r="D30" s="12"/>
      <c r="E30" s="14" t="s">
        <v>77</v>
      </c>
      <c r="F30" s="14">
        <v>0.0</v>
      </c>
      <c r="G30" s="15">
        <f t="shared" si="4"/>
        <v>13.332</v>
      </c>
      <c r="H30" s="16">
        <f t="shared" si="3"/>
        <v>16.665</v>
      </c>
      <c r="I30" s="14"/>
    </row>
    <row r="31" ht="15.75" customHeight="1">
      <c r="A31" s="17"/>
      <c r="B31" s="12"/>
      <c r="C31" s="13"/>
      <c r="D31" s="12"/>
      <c r="E31" s="14" t="s">
        <v>78</v>
      </c>
      <c r="F31" s="14">
        <v>7.0</v>
      </c>
      <c r="G31" s="27"/>
      <c r="H31" s="14"/>
      <c r="I31" s="14" t="s">
        <v>79</v>
      </c>
    </row>
    <row r="32" ht="15.75" customHeight="1">
      <c r="A32" s="17"/>
      <c r="B32" s="12"/>
      <c r="C32" s="13"/>
      <c r="D32" s="12"/>
      <c r="E32" s="14" t="s">
        <v>80</v>
      </c>
      <c r="F32" s="14">
        <v>0.0</v>
      </c>
      <c r="G32" s="27"/>
      <c r="H32" s="14"/>
      <c r="I32" s="1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B2"/>
    <mergeCell ref="G2:I2"/>
    <mergeCell ref="A13:B13"/>
  </mergeCells>
  <conditionalFormatting sqref="G24">
    <cfRule type="expression" dxfId="0" priority="1">
      <formula> round($G$24 - $H$7, 1) &lt; VLOOKUP("tRAS",$A$14:$B$32, 2, False)</formula>
    </cfRule>
  </conditionalFormatting>
  <conditionalFormatting sqref="G24">
    <cfRule type="expression" dxfId="1" priority="2">
      <formula> round($G$24 - $H$26, 1) &lt; VLOOKUP("tRC",$A$14:$B$32, 2, False)</formula>
    </cfRule>
  </conditionalFormatting>
  <conditionalFormatting sqref="G13">
    <cfRule type="expression" dxfId="0" priority="3">
      <formula>round($G$13-$H$7, 1) &lt; VLOOKUP("tRCD(min)",$A$14:$B$32,2,false)</formula>
    </cfRule>
  </conditionalFormatting>
  <conditionalFormatting sqref="G13">
    <cfRule type="expression" dxfId="1" priority="4">
      <formula>round($G$13-$H$26,1) &lt; VLOOKUP("tCPN",$A$14:$B$32,2,False)</formula>
    </cfRule>
  </conditionalFormatting>
  <conditionalFormatting sqref="G13">
    <cfRule type="expression" dxfId="2" priority="5">
      <formula>round($G$13-$H$7, 1) &gt;= VLOOKUP("tRCD(max)",$A$14:$B$32,2,false)</formula>
    </cfRule>
  </conditionalFormatting>
  <conditionalFormatting sqref="G18">
    <cfRule type="expression" dxfId="0" priority="6">
      <formula> round($G$18 - $H$11, 1) &lt; VLOOKUP("tCAH",$A$14:$B$26,2,False)</formula>
    </cfRule>
  </conditionalFormatting>
  <conditionalFormatting sqref="G7">
    <cfRule type="expression" dxfId="0" priority="7">
      <formula>round($G$7-$H$26,1) &lt; VLOOKUP("tRP",$A$14:$B$32,2,False)</formula>
    </cfRule>
  </conditionalFormatting>
  <conditionalFormatting sqref="G9">
    <cfRule type="expression" dxfId="0" priority="8">
      <formula> round($G$9 - $H$7, 1) &lt; VLOOKUP("tRAH",$A$14:$B$32,2,False)</formula>
    </cfRule>
  </conditionalFormatting>
  <conditionalFormatting sqref="G17">
    <cfRule type="expression" dxfId="0" priority="9">
      <formula> round($G$17 - $H$11, 1) &lt; VLOOKUP("tWP",$A$14:$B$32,2,False)</formula>
    </cfRule>
  </conditionalFormatting>
  <conditionalFormatting sqref="G11">
    <cfRule type="expression" dxfId="1" priority="10">
      <formula>round($G$11-$H$26,1) &lt; VLOOKUP("tCPN",$A$14:$B$32,2,False)</formula>
    </cfRule>
  </conditionalFormatting>
  <conditionalFormatting sqref="G18">
    <cfRule type="expression" dxfId="0" priority="11">
      <formula> round($G$18 - $H$13, 1) &lt; VLOOKUP("tCAH",$A$14:$B$26,2,False)</formula>
    </cfRule>
  </conditionalFormatting>
  <conditionalFormatting sqref="G20">
    <cfRule type="expression" dxfId="0" priority="12">
      <formula> round($G$20 - $H$7, 1) &lt; VLOOKUP("tRAC",$A$14:$B$26,2,False)</formula>
    </cfRule>
  </conditionalFormatting>
  <conditionalFormatting sqref="G17">
    <cfRule type="expression" dxfId="1" priority="13">
      <formula> round($G$17 - $H$11, 1) &lt; VLOOKUP("tWCH",$A$14:$B$32,2,False)</formula>
    </cfRule>
  </conditionalFormatting>
  <conditionalFormatting sqref="G21">
    <cfRule type="expression" dxfId="0" priority="14">
      <formula>round($G$21 - $H$13, 1) &lt; vlookup("tCAS", $A$14:$B$32, 2, False)</formula>
    </cfRule>
  </conditionalFormatting>
  <conditionalFormatting sqref="G17">
    <cfRule type="expression" dxfId="3" priority="15">
      <formula> round($G$17 - $H$7, 1) &lt; VLOOKUP("tWCR",$A$14:$B$32,2,False)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8.63"/>
    <col customWidth="1" min="3" max="3" width="5.25"/>
    <col customWidth="1" min="4" max="4" width="14.88"/>
    <col customWidth="1" min="5" max="5" width="19.88"/>
    <col customWidth="1" min="6" max="6" width="6.38"/>
    <col customWidth="1" min="7" max="7" width="11.38"/>
    <col customWidth="1" min="8" max="8" width="10.38"/>
    <col customWidth="1" min="9" max="9" width="141.63"/>
  </cols>
  <sheetData>
    <row r="1" ht="15.75" customHeight="1">
      <c r="H1" s="1"/>
      <c r="I1" s="1"/>
    </row>
    <row r="2" ht="15.75" customHeight="1">
      <c r="A2" s="2" t="s">
        <v>0</v>
      </c>
      <c r="B2" s="3"/>
      <c r="F2" s="4"/>
      <c r="G2" s="5" t="s">
        <v>1</v>
      </c>
      <c r="H2" s="6"/>
      <c r="I2" s="3"/>
    </row>
    <row r="3" ht="15.75" customHeight="1">
      <c r="A3" s="7" t="s">
        <v>2</v>
      </c>
      <c r="B3" s="8" t="s">
        <v>3</v>
      </c>
      <c r="C3" s="9"/>
      <c r="D3" s="8" t="s">
        <v>4</v>
      </c>
      <c r="E3" s="10" t="s">
        <v>5</v>
      </c>
      <c r="F3" s="10" t="s">
        <v>6</v>
      </c>
      <c r="G3" s="11" t="s">
        <v>7</v>
      </c>
      <c r="H3" s="10" t="s">
        <v>8</v>
      </c>
      <c r="I3" s="7" t="s">
        <v>9</v>
      </c>
    </row>
    <row r="4" ht="15.75" customHeight="1">
      <c r="A4" s="7">
        <v>0.0</v>
      </c>
      <c r="B4" s="12">
        <v>0.0</v>
      </c>
      <c r="C4" s="13"/>
      <c r="D4" s="12" t="s">
        <v>10</v>
      </c>
      <c r="E4" s="14" t="s">
        <v>11</v>
      </c>
      <c r="F4" s="14">
        <v>1.0</v>
      </c>
      <c r="G4" s="15">
        <f>H30</f>
        <v>16.665</v>
      </c>
      <c r="H4" s="16">
        <f t="shared" ref="H4:H24" si="1">G4+(offset($B$4,$F4,0)+1)*3.333</f>
        <v>19.998</v>
      </c>
      <c r="I4" s="14" t="s">
        <v>12</v>
      </c>
    </row>
    <row r="5" ht="15.75" customHeight="1">
      <c r="A5" s="17">
        <v>1.0</v>
      </c>
      <c r="B5" s="12">
        <v>0.0</v>
      </c>
      <c r="C5" s="13"/>
      <c r="D5" s="12"/>
      <c r="E5" s="14" t="s">
        <v>13</v>
      </c>
      <c r="F5" s="14">
        <v>2.0</v>
      </c>
      <c r="G5" s="15">
        <f t="shared" ref="G5:G24" si="2">H4</f>
        <v>19.998</v>
      </c>
      <c r="H5" s="16">
        <f t="shared" si="1"/>
        <v>99.99</v>
      </c>
      <c r="I5" s="14" t="s">
        <v>14</v>
      </c>
    </row>
    <row r="6" ht="15.75" customHeight="1">
      <c r="A6" s="17">
        <v>2.0</v>
      </c>
      <c r="B6" s="12">
        <v>23.0</v>
      </c>
      <c r="C6" s="13"/>
      <c r="D6" s="12"/>
      <c r="E6" s="14" t="s">
        <v>15</v>
      </c>
      <c r="F6" s="14">
        <v>0.0</v>
      </c>
      <c r="G6" s="15">
        <f t="shared" si="2"/>
        <v>99.99</v>
      </c>
      <c r="H6" s="16">
        <f t="shared" si="1"/>
        <v>103.323</v>
      </c>
      <c r="I6" s="14" t="s">
        <v>16</v>
      </c>
    </row>
    <row r="7" ht="15.75" customHeight="1">
      <c r="A7" s="17">
        <v>3.0</v>
      </c>
      <c r="B7" s="12">
        <v>5.0</v>
      </c>
      <c r="C7" s="13"/>
      <c r="D7" s="12"/>
      <c r="E7" s="18" t="s">
        <v>17</v>
      </c>
      <c r="F7" s="14">
        <v>0.0</v>
      </c>
      <c r="G7" s="19">
        <f t="shared" si="2"/>
        <v>103.323</v>
      </c>
      <c r="H7" s="20">
        <f t="shared" si="1"/>
        <v>106.656</v>
      </c>
      <c r="I7" s="14" t="s">
        <v>90</v>
      </c>
    </row>
    <row r="8" ht="15.75" customHeight="1">
      <c r="A8" s="17">
        <v>4.0</v>
      </c>
      <c r="B8" s="12">
        <v>22.0</v>
      </c>
      <c r="C8" s="13"/>
      <c r="D8" s="12"/>
      <c r="E8" s="14" t="s">
        <v>19</v>
      </c>
      <c r="F8" s="14">
        <v>3.0</v>
      </c>
      <c r="G8" s="15">
        <f t="shared" si="2"/>
        <v>106.656</v>
      </c>
      <c r="H8" s="16">
        <f t="shared" si="1"/>
        <v>126.654</v>
      </c>
      <c r="I8" s="14" t="s">
        <v>20</v>
      </c>
    </row>
    <row r="9" ht="15.75" customHeight="1">
      <c r="A9" s="17">
        <v>5.0</v>
      </c>
      <c r="B9" s="12">
        <v>6.0</v>
      </c>
      <c r="C9" s="13"/>
      <c r="D9" s="12" t="s">
        <v>21</v>
      </c>
      <c r="E9" s="18" t="s">
        <v>22</v>
      </c>
      <c r="F9" s="14">
        <v>0.0</v>
      </c>
      <c r="G9" s="19">
        <f t="shared" si="2"/>
        <v>126.654</v>
      </c>
      <c r="H9" s="16">
        <f t="shared" si="1"/>
        <v>129.987</v>
      </c>
      <c r="I9" s="14" t="s">
        <v>91</v>
      </c>
    </row>
    <row r="10" ht="15.75" customHeight="1">
      <c r="A10" s="17">
        <v>6.0</v>
      </c>
      <c r="B10" s="12">
        <v>0.0</v>
      </c>
      <c r="C10" s="13"/>
      <c r="D10" s="12"/>
      <c r="E10" s="14" t="s">
        <v>24</v>
      </c>
      <c r="F10" s="14">
        <v>0.0</v>
      </c>
      <c r="G10" s="15">
        <f t="shared" si="2"/>
        <v>129.987</v>
      </c>
      <c r="H10" s="16">
        <f t="shared" si="1"/>
        <v>133.32</v>
      </c>
      <c r="I10" s="14" t="s">
        <v>25</v>
      </c>
    </row>
    <row r="11" ht="15.75" customHeight="1">
      <c r="A11" s="17">
        <v>7.0</v>
      </c>
      <c r="B11" s="12">
        <v>0.0</v>
      </c>
      <c r="C11" s="13"/>
      <c r="D11" s="12"/>
      <c r="E11" s="14" t="s">
        <v>26</v>
      </c>
      <c r="F11" s="14">
        <v>0.0</v>
      </c>
      <c r="G11" s="19">
        <f t="shared" si="2"/>
        <v>133.32</v>
      </c>
      <c r="H11" s="20">
        <f t="shared" si="1"/>
        <v>136.653</v>
      </c>
      <c r="I11" s="14" t="s">
        <v>92</v>
      </c>
    </row>
    <row r="12" ht="15.75" customHeight="1">
      <c r="A12" s="13"/>
      <c r="B12" s="13"/>
      <c r="C12" s="13" t="s">
        <v>28</v>
      </c>
      <c r="D12" s="12"/>
      <c r="E12" s="14" t="s">
        <v>29</v>
      </c>
      <c r="F12" s="14">
        <v>0.0</v>
      </c>
      <c r="G12" s="15">
        <f t="shared" si="2"/>
        <v>136.653</v>
      </c>
      <c r="H12" s="16">
        <f t="shared" si="1"/>
        <v>139.986</v>
      </c>
      <c r="I12" s="14" t="s">
        <v>30</v>
      </c>
    </row>
    <row r="13" ht="15.75" customHeight="1">
      <c r="A13" s="22" t="s">
        <v>31</v>
      </c>
      <c r="B13" s="3"/>
      <c r="C13" s="13"/>
      <c r="D13" s="12" t="s">
        <v>32</v>
      </c>
      <c r="E13" s="18" t="s">
        <v>33</v>
      </c>
      <c r="F13" s="14">
        <v>0.0</v>
      </c>
      <c r="G13" s="23">
        <f t="shared" si="2"/>
        <v>139.986</v>
      </c>
      <c r="H13" s="20">
        <f t="shared" si="1"/>
        <v>143.319</v>
      </c>
      <c r="I13" s="14" t="s">
        <v>93</v>
      </c>
    </row>
    <row r="14" ht="15.75" customHeight="1">
      <c r="A14" s="17" t="s">
        <v>35</v>
      </c>
      <c r="B14" s="12">
        <v>100.0</v>
      </c>
      <c r="C14" s="13"/>
      <c r="D14" s="12"/>
      <c r="E14" s="14" t="s">
        <v>36</v>
      </c>
      <c r="F14" s="14">
        <v>0.0</v>
      </c>
      <c r="G14" s="24">
        <f t="shared" si="2"/>
        <v>143.319</v>
      </c>
      <c r="H14" s="16">
        <f t="shared" si="1"/>
        <v>146.652</v>
      </c>
      <c r="I14" s="14" t="s">
        <v>37</v>
      </c>
    </row>
    <row r="15" ht="15.75" customHeight="1">
      <c r="A15" s="17" t="s">
        <v>38</v>
      </c>
      <c r="B15" s="12">
        <v>30.0</v>
      </c>
      <c r="C15" s="13"/>
      <c r="D15" s="12" t="s">
        <v>39</v>
      </c>
      <c r="E15" s="14" t="s">
        <v>40</v>
      </c>
      <c r="F15" s="14">
        <v>0.0</v>
      </c>
      <c r="G15" s="15">
        <f t="shared" si="2"/>
        <v>146.652</v>
      </c>
      <c r="H15" s="16">
        <f t="shared" si="1"/>
        <v>149.985</v>
      </c>
      <c r="I15" s="14" t="s">
        <v>41</v>
      </c>
    </row>
    <row r="16" ht="15.75" customHeight="1">
      <c r="A16" s="17" t="s">
        <v>42</v>
      </c>
      <c r="B16" s="12">
        <v>150.0</v>
      </c>
      <c r="C16" s="13"/>
      <c r="D16" s="12"/>
      <c r="E16" s="14" t="s">
        <v>43</v>
      </c>
      <c r="F16" s="14">
        <v>4.0</v>
      </c>
      <c r="G16" s="15">
        <f t="shared" si="2"/>
        <v>149.985</v>
      </c>
      <c r="H16" s="16">
        <f t="shared" si="1"/>
        <v>226.644</v>
      </c>
      <c r="I16" s="14" t="s">
        <v>44</v>
      </c>
    </row>
    <row r="17" ht="15.75" customHeight="1">
      <c r="A17" s="17" t="s">
        <v>45</v>
      </c>
      <c r="B17" s="12">
        <v>20.0</v>
      </c>
      <c r="C17" s="13"/>
      <c r="D17" s="12"/>
      <c r="E17" s="18" t="s">
        <v>33</v>
      </c>
      <c r="F17" s="14">
        <v>0.0</v>
      </c>
      <c r="G17" s="19">
        <f t="shared" si="2"/>
        <v>226.644</v>
      </c>
      <c r="H17" s="20">
        <f t="shared" si="1"/>
        <v>229.977</v>
      </c>
      <c r="I17" s="14" t="s">
        <v>94</v>
      </c>
    </row>
    <row r="18" ht="15.75" customHeight="1">
      <c r="A18" s="17" t="s">
        <v>47</v>
      </c>
      <c r="B18" s="12">
        <v>35.0</v>
      </c>
      <c r="C18" s="13"/>
      <c r="D18" s="12"/>
      <c r="E18" s="14" t="s">
        <v>22</v>
      </c>
      <c r="F18" s="14">
        <v>0.0</v>
      </c>
      <c r="G18" s="19">
        <f t="shared" si="2"/>
        <v>229.977</v>
      </c>
      <c r="H18" s="16">
        <f t="shared" si="1"/>
        <v>233.31</v>
      </c>
      <c r="I18" s="14" t="s">
        <v>95</v>
      </c>
    </row>
    <row r="19" ht="15.75" customHeight="1">
      <c r="A19" s="17" t="s">
        <v>49</v>
      </c>
      <c r="B19" s="12">
        <v>140.0</v>
      </c>
      <c r="C19" s="13"/>
      <c r="D19" s="12"/>
      <c r="E19" s="14" t="s">
        <v>50</v>
      </c>
      <c r="F19" s="14">
        <v>5.0</v>
      </c>
      <c r="G19" s="15">
        <f t="shared" si="2"/>
        <v>233.31</v>
      </c>
      <c r="H19" s="16">
        <f t="shared" si="1"/>
        <v>256.641</v>
      </c>
      <c r="I19" s="14" t="s">
        <v>51</v>
      </c>
    </row>
    <row r="20" ht="15.75" customHeight="1">
      <c r="A20" s="17" t="s">
        <v>52</v>
      </c>
      <c r="B20" s="12">
        <v>45.0</v>
      </c>
      <c r="C20" s="13"/>
      <c r="D20" s="12"/>
      <c r="E20" s="14" t="s">
        <v>53</v>
      </c>
      <c r="F20" s="14">
        <v>0.0</v>
      </c>
      <c r="G20" s="19">
        <f t="shared" si="2"/>
        <v>256.641</v>
      </c>
      <c r="H20" s="16">
        <f t="shared" si="1"/>
        <v>259.974</v>
      </c>
      <c r="I20" s="14" t="s">
        <v>96</v>
      </c>
    </row>
    <row r="21" ht="15.75" customHeight="1">
      <c r="A21" s="17" t="s">
        <v>55</v>
      </c>
      <c r="B21" s="14">
        <v>45.0</v>
      </c>
      <c r="C21" s="13"/>
      <c r="D21" s="12"/>
      <c r="E21" s="14" t="s">
        <v>17</v>
      </c>
      <c r="F21" s="14">
        <v>0.0</v>
      </c>
      <c r="G21" s="19">
        <f t="shared" si="2"/>
        <v>259.974</v>
      </c>
      <c r="H21" s="16">
        <f t="shared" si="1"/>
        <v>263.307</v>
      </c>
      <c r="I21" s="14" t="s">
        <v>97</v>
      </c>
    </row>
    <row r="22" ht="15.75" customHeight="1">
      <c r="A22" s="17" t="s">
        <v>57</v>
      </c>
      <c r="B22" s="12">
        <v>25.0</v>
      </c>
      <c r="C22" s="13"/>
      <c r="D22" s="12"/>
      <c r="E22" s="14" t="s">
        <v>58</v>
      </c>
      <c r="F22" s="14">
        <v>0.0</v>
      </c>
      <c r="G22" s="15">
        <f t="shared" si="2"/>
        <v>263.307</v>
      </c>
      <c r="H22" s="16">
        <f t="shared" si="1"/>
        <v>266.64</v>
      </c>
      <c r="I22" s="14"/>
    </row>
    <row r="23" ht="15.75" customHeight="1">
      <c r="A23" s="17" t="s">
        <v>59</v>
      </c>
      <c r="B23" s="12">
        <v>75.0</v>
      </c>
      <c r="C23" s="13"/>
      <c r="D23" s="12"/>
      <c r="E23" s="14" t="s">
        <v>60</v>
      </c>
      <c r="F23" s="14">
        <v>6.0</v>
      </c>
      <c r="G23" s="15">
        <f t="shared" si="2"/>
        <v>266.64</v>
      </c>
      <c r="H23" s="16">
        <f t="shared" si="1"/>
        <v>269.973</v>
      </c>
      <c r="I23" s="14" t="s">
        <v>61</v>
      </c>
    </row>
    <row r="24" ht="15.75" customHeight="1">
      <c r="A24" s="17" t="s">
        <v>62</v>
      </c>
      <c r="B24" s="12">
        <v>150.0</v>
      </c>
      <c r="C24" s="13"/>
      <c r="D24" s="12"/>
      <c r="E24" s="18" t="s">
        <v>63</v>
      </c>
      <c r="F24" s="14">
        <v>0.0</v>
      </c>
      <c r="G24" s="19">
        <f t="shared" si="2"/>
        <v>269.973</v>
      </c>
      <c r="H24" s="16">
        <f t="shared" si="1"/>
        <v>273.306</v>
      </c>
      <c r="I24" s="18" t="s">
        <v>98</v>
      </c>
    </row>
    <row r="25" ht="15.75" customHeight="1">
      <c r="A25" s="17" t="s">
        <v>65</v>
      </c>
      <c r="B25" s="12">
        <v>75.0</v>
      </c>
      <c r="C25" s="13"/>
      <c r="D25" s="12"/>
      <c r="E25" s="14" t="s">
        <v>66</v>
      </c>
      <c r="F25" s="14">
        <v>0.0</v>
      </c>
      <c r="G25" s="25">
        <v>0.0</v>
      </c>
      <c r="H25" s="26">
        <f>G25+3.333</f>
        <v>3.333</v>
      </c>
      <c r="I25" s="14"/>
    </row>
    <row r="26" ht="15.75" customHeight="1">
      <c r="A26" s="17" t="s">
        <v>67</v>
      </c>
      <c r="B26" s="12">
        <v>260.0</v>
      </c>
      <c r="C26" s="13"/>
      <c r="D26" s="12" t="s">
        <v>68</v>
      </c>
      <c r="E26" s="14" t="s">
        <v>69</v>
      </c>
      <c r="F26" s="14">
        <v>0.0</v>
      </c>
      <c r="G26" s="15">
        <v>0.0</v>
      </c>
      <c r="H26" s="16">
        <f t="shared" ref="H26:H30" si="3">G26+(offset($B$4,$F26,0)+1)*3.333</f>
        <v>3.333</v>
      </c>
      <c r="I26" s="14" t="s">
        <v>70</v>
      </c>
    </row>
    <row r="27" ht="15.75" customHeight="1">
      <c r="A27" s="17" t="s">
        <v>71</v>
      </c>
      <c r="B27" s="12">
        <v>300.0</v>
      </c>
      <c r="C27" s="13"/>
      <c r="D27" s="12" t="s">
        <v>72</v>
      </c>
      <c r="E27" s="14" t="s">
        <v>73</v>
      </c>
      <c r="F27" s="14">
        <v>0.0</v>
      </c>
      <c r="G27" s="15">
        <f t="shared" ref="G27:G30" si="4">H26</f>
        <v>3.333</v>
      </c>
      <c r="H27" s="16">
        <f t="shared" si="3"/>
        <v>6.666</v>
      </c>
      <c r="I27" s="14"/>
    </row>
    <row r="28" ht="15.75" customHeight="1">
      <c r="A28" s="17" t="s">
        <v>74</v>
      </c>
      <c r="B28" s="12">
        <v>120.0</v>
      </c>
      <c r="C28" s="13"/>
      <c r="D28" s="12"/>
      <c r="E28" s="14" t="s">
        <v>75</v>
      </c>
      <c r="F28" s="14">
        <v>0.0</v>
      </c>
      <c r="G28" s="15">
        <f t="shared" si="4"/>
        <v>6.666</v>
      </c>
      <c r="H28" s="16">
        <f t="shared" si="3"/>
        <v>9.999</v>
      </c>
      <c r="I28" s="14"/>
    </row>
    <row r="29" ht="15.75" customHeight="1">
      <c r="A29" s="17"/>
      <c r="B29" s="12"/>
      <c r="C29" s="13"/>
      <c r="D29" s="12"/>
      <c r="E29" s="14" t="s">
        <v>76</v>
      </c>
      <c r="F29" s="14">
        <v>0.0</v>
      </c>
      <c r="G29" s="15">
        <f t="shared" si="4"/>
        <v>9.999</v>
      </c>
      <c r="H29" s="16">
        <f t="shared" si="3"/>
        <v>13.332</v>
      </c>
      <c r="I29" s="14"/>
    </row>
    <row r="30" ht="15.75" customHeight="1">
      <c r="A30" s="17"/>
      <c r="B30" s="12"/>
      <c r="C30" s="13"/>
      <c r="D30" s="12"/>
      <c r="E30" s="14" t="s">
        <v>77</v>
      </c>
      <c r="F30" s="14">
        <v>0.0</v>
      </c>
      <c r="G30" s="15">
        <f t="shared" si="4"/>
        <v>13.332</v>
      </c>
      <c r="H30" s="16">
        <f t="shared" si="3"/>
        <v>16.665</v>
      </c>
      <c r="I30" s="14"/>
    </row>
    <row r="31" ht="15.75" customHeight="1">
      <c r="A31" s="17"/>
      <c r="B31" s="12"/>
      <c r="C31" s="13"/>
      <c r="D31" s="12"/>
      <c r="E31" s="14" t="s">
        <v>78</v>
      </c>
      <c r="F31" s="14">
        <v>7.0</v>
      </c>
      <c r="G31" s="27"/>
      <c r="H31" s="14"/>
      <c r="I31" s="14" t="s">
        <v>79</v>
      </c>
    </row>
    <row r="32" ht="15.75" customHeight="1">
      <c r="A32" s="17"/>
      <c r="B32" s="12"/>
      <c r="C32" s="13"/>
      <c r="D32" s="12"/>
      <c r="E32" s="14" t="s">
        <v>80</v>
      </c>
      <c r="F32" s="14">
        <v>0.0</v>
      </c>
      <c r="G32" s="27"/>
      <c r="H32" s="14"/>
      <c r="I32" s="1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B2"/>
    <mergeCell ref="G2:I2"/>
    <mergeCell ref="A13:B13"/>
  </mergeCells>
  <conditionalFormatting sqref="G24">
    <cfRule type="expression" dxfId="0" priority="1">
      <formula> round($G$24 - $H$7, 1) &lt; VLOOKUP("tRAS",$A$14:$B$32, 2, False)</formula>
    </cfRule>
  </conditionalFormatting>
  <conditionalFormatting sqref="G24">
    <cfRule type="expression" dxfId="1" priority="2">
      <formula> round($G$24 - $H$26, 1) &lt; VLOOKUP("tRC",$A$14:$B$32, 2, False)</formula>
    </cfRule>
  </conditionalFormatting>
  <conditionalFormatting sqref="G13">
    <cfRule type="expression" dxfId="0" priority="3">
      <formula>round($G$13-$H$7, 1) &lt; VLOOKUP("tRCD(min)",$A$14:$B$32,2,false)</formula>
    </cfRule>
  </conditionalFormatting>
  <conditionalFormatting sqref="G13">
    <cfRule type="expression" dxfId="1" priority="4">
      <formula>round($G$13-$H$26,1) &lt; VLOOKUP("tCPN",$A$14:$B$32,2,False)</formula>
    </cfRule>
  </conditionalFormatting>
  <conditionalFormatting sqref="G13">
    <cfRule type="expression" dxfId="2" priority="5">
      <formula>round($G$13-$H$7, 1) &gt;= VLOOKUP("tRCD(max)",$A$14:$B$32,2,false)</formula>
    </cfRule>
  </conditionalFormatting>
  <conditionalFormatting sqref="G18">
    <cfRule type="expression" dxfId="0" priority="6">
      <formula> round($G$18 - $H$11, 1) &lt; VLOOKUP("tCAH",$A$14:$B$26,2,False)</formula>
    </cfRule>
  </conditionalFormatting>
  <conditionalFormatting sqref="G7">
    <cfRule type="expression" dxfId="0" priority="7">
      <formula>round($G$7-$H$26,1) &lt; VLOOKUP("tRP",$A$14:$B$32,2,False)</formula>
    </cfRule>
  </conditionalFormatting>
  <conditionalFormatting sqref="G9">
    <cfRule type="expression" dxfId="0" priority="8">
      <formula> round($G$9 - $H$7, 1) &lt; VLOOKUP("tRAH",$A$14:$B$32,2,False)</formula>
    </cfRule>
  </conditionalFormatting>
  <conditionalFormatting sqref="G17">
    <cfRule type="expression" dxfId="0" priority="9">
      <formula> round($G$17 - $H$11, 1) &lt; VLOOKUP("tWP",$A$14:$B$32,2,False)</formula>
    </cfRule>
  </conditionalFormatting>
  <conditionalFormatting sqref="G11">
    <cfRule type="expression" dxfId="1" priority="10">
      <formula>round($G$11-$H$26,1) &lt; VLOOKUP("tCPN",$A$14:$B$32,2,False)</formula>
    </cfRule>
  </conditionalFormatting>
  <conditionalFormatting sqref="G18">
    <cfRule type="expression" dxfId="0" priority="11">
      <formula> round($G$18 - $H$13, 1) &lt; VLOOKUP("tCAH",$A$14:$B$26,2,False)</formula>
    </cfRule>
  </conditionalFormatting>
  <conditionalFormatting sqref="G20">
    <cfRule type="expression" dxfId="0" priority="12">
      <formula> round($G$20 - $H$7, 1) &lt; VLOOKUP("tRAC",$A$14:$B$26,2,False)</formula>
    </cfRule>
  </conditionalFormatting>
  <conditionalFormatting sqref="G17">
    <cfRule type="expression" dxfId="1" priority="13">
      <formula> round($G$17 - $H$11, 1) &lt; VLOOKUP("tWCH",$A$14:$B$32,2,False)</formula>
    </cfRule>
  </conditionalFormatting>
  <conditionalFormatting sqref="G21">
    <cfRule type="expression" dxfId="0" priority="14">
      <formula>round($G$21 - $H$13, 1) &lt; vlookup("tCAS", $A$14:$B$32, 2, False)</formula>
    </cfRule>
  </conditionalFormatting>
  <conditionalFormatting sqref="G17">
    <cfRule type="expression" dxfId="3" priority="15">
      <formula> round($G$17 - $H$7, 1) &lt; VLOOKUP("tWCR",$A$14:$B$32,2,False)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8.63"/>
    <col customWidth="1" min="3" max="3" width="5.25"/>
    <col customWidth="1" min="4" max="4" width="14.88"/>
    <col customWidth="1" min="5" max="5" width="19.88"/>
    <col customWidth="1" min="6" max="6" width="6.38"/>
    <col customWidth="1" min="7" max="7" width="11.38"/>
    <col customWidth="1" min="8" max="8" width="10.38"/>
    <col customWidth="1" min="9" max="9" width="141.63"/>
  </cols>
  <sheetData>
    <row r="1" ht="15.75" customHeight="1">
      <c r="H1" s="1"/>
      <c r="I1" s="1"/>
    </row>
    <row r="2" ht="15.75" customHeight="1">
      <c r="A2" s="2" t="s">
        <v>0</v>
      </c>
      <c r="B2" s="3"/>
      <c r="F2" s="4"/>
      <c r="G2" s="5" t="s">
        <v>1</v>
      </c>
      <c r="H2" s="6"/>
      <c r="I2" s="3"/>
    </row>
    <row r="3" ht="15.75" customHeight="1">
      <c r="A3" s="7" t="s">
        <v>2</v>
      </c>
      <c r="B3" s="8" t="s">
        <v>3</v>
      </c>
      <c r="C3" s="9"/>
      <c r="D3" s="8" t="s">
        <v>4</v>
      </c>
      <c r="E3" s="10" t="s">
        <v>5</v>
      </c>
      <c r="F3" s="10" t="s">
        <v>6</v>
      </c>
      <c r="G3" s="11" t="s">
        <v>7</v>
      </c>
      <c r="H3" s="10" t="s">
        <v>8</v>
      </c>
      <c r="I3" s="7" t="s">
        <v>9</v>
      </c>
    </row>
    <row r="4" ht="15.75" customHeight="1">
      <c r="A4" s="7">
        <v>0.0</v>
      </c>
      <c r="B4" s="12">
        <v>0.0</v>
      </c>
      <c r="C4" s="13"/>
      <c r="D4" s="12" t="s">
        <v>10</v>
      </c>
      <c r="E4" s="14" t="s">
        <v>11</v>
      </c>
      <c r="F4" s="14">
        <v>1.0</v>
      </c>
      <c r="G4" s="15">
        <f>H30</f>
        <v>16.665</v>
      </c>
      <c r="H4" s="16">
        <f t="shared" ref="H4:H24" si="1">G4+(offset($B$4,$F4,0)+1)*3.333</f>
        <v>19.998</v>
      </c>
      <c r="I4" s="14" t="s">
        <v>12</v>
      </c>
    </row>
    <row r="5" ht="15.75" customHeight="1">
      <c r="A5" s="17">
        <v>1.0</v>
      </c>
      <c r="B5" s="12">
        <v>0.0</v>
      </c>
      <c r="C5" s="13"/>
      <c r="D5" s="12"/>
      <c r="E5" s="14" t="s">
        <v>13</v>
      </c>
      <c r="F5" s="14">
        <v>2.0</v>
      </c>
      <c r="G5" s="15">
        <f t="shared" ref="G5:G24" si="2">H4</f>
        <v>19.998</v>
      </c>
      <c r="H5" s="16">
        <f t="shared" si="1"/>
        <v>109.989</v>
      </c>
      <c r="I5" s="14" t="s">
        <v>14</v>
      </c>
    </row>
    <row r="6" ht="15.75" customHeight="1">
      <c r="A6" s="17">
        <v>2.0</v>
      </c>
      <c r="B6" s="12">
        <v>26.0</v>
      </c>
      <c r="C6" s="13"/>
      <c r="D6" s="12"/>
      <c r="E6" s="14" t="s">
        <v>15</v>
      </c>
      <c r="F6" s="14">
        <v>0.0</v>
      </c>
      <c r="G6" s="15">
        <f t="shared" si="2"/>
        <v>109.989</v>
      </c>
      <c r="H6" s="16">
        <f t="shared" si="1"/>
        <v>113.322</v>
      </c>
      <c r="I6" s="14" t="s">
        <v>16</v>
      </c>
    </row>
    <row r="7" ht="15.75" customHeight="1">
      <c r="A7" s="17">
        <v>3.0</v>
      </c>
      <c r="B7" s="12">
        <v>4.0</v>
      </c>
      <c r="C7" s="13"/>
      <c r="D7" s="12"/>
      <c r="E7" s="18" t="s">
        <v>17</v>
      </c>
      <c r="F7" s="14">
        <v>0.0</v>
      </c>
      <c r="G7" s="19">
        <f t="shared" si="2"/>
        <v>113.322</v>
      </c>
      <c r="H7" s="20">
        <f t="shared" si="1"/>
        <v>116.655</v>
      </c>
      <c r="I7" s="14" t="s">
        <v>99</v>
      </c>
    </row>
    <row r="8" ht="15.75" customHeight="1">
      <c r="A8" s="17">
        <v>4.0</v>
      </c>
      <c r="B8" s="12">
        <v>8.0</v>
      </c>
      <c r="C8" s="13"/>
      <c r="D8" s="12"/>
      <c r="E8" s="14" t="s">
        <v>19</v>
      </c>
      <c r="F8" s="14">
        <v>3.0</v>
      </c>
      <c r="G8" s="15">
        <f t="shared" si="2"/>
        <v>116.655</v>
      </c>
      <c r="H8" s="16">
        <f t="shared" si="1"/>
        <v>133.32</v>
      </c>
      <c r="I8" s="14" t="s">
        <v>20</v>
      </c>
    </row>
    <row r="9" ht="15.75" customHeight="1">
      <c r="A9" s="17">
        <v>5.0</v>
      </c>
      <c r="B9" s="12">
        <v>6.0</v>
      </c>
      <c r="C9" s="13"/>
      <c r="D9" s="12" t="s">
        <v>21</v>
      </c>
      <c r="E9" s="18" t="s">
        <v>22</v>
      </c>
      <c r="F9" s="14">
        <v>0.0</v>
      </c>
      <c r="G9" s="19">
        <f t="shared" si="2"/>
        <v>133.32</v>
      </c>
      <c r="H9" s="16">
        <f t="shared" si="1"/>
        <v>136.653</v>
      </c>
      <c r="I9" s="14" t="s">
        <v>100</v>
      </c>
    </row>
    <row r="10" ht="15.75" customHeight="1">
      <c r="A10" s="17">
        <v>6.0</v>
      </c>
      <c r="B10" s="12">
        <v>3.0</v>
      </c>
      <c r="C10" s="13"/>
      <c r="D10" s="12"/>
      <c r="E10" s="14" t="s">
        <v>24</v>
      </c>
      <c r="F10" s="14">
        <v>0.0</v>
      </c>
      <c r="G10" s="15">
        <f t="shared" si="2"/>
        <v>136.653</v>
      </c>
      <c r="H10" s="16">
        <f t="shared" si="1"/>
        <v>139.986</v>
      </c>
      <c r="I10" s="14" t="s">
        <v>25</v>
      </c>
    </row>
    <row r="11" ht="15.75" customHeight="1">
      <c r="A11" s="17">
        <v>7.0</v>
      </c>
      <c r="B11" s="12">
        <v>0.0</v>
      </c>
      <c r="C11" s="13"/>
      <c r="D11" s="12"/>
      <c r="E11" s="14" t="s">
        <v>26</v>
      </c>
      <c r="F11" s="14">
        <v>0.0</v>
      </c>
      <c r="G11" s="19">
        <f t="shared" si="2"/>
        <v>139.986</v>
      </c>
      <c r="H11" s="20">
        <f t="shared" si="1"/>
        <v>143.319</v>
      </c>
      <c r="I11" s="14" t="s">
        <v>101</v>
      </c>
    </row>
    <row r="12" ht="15.75" customHeight="1">
      <c r="A12" s="13"/>
      <c r="B12" s="13"/>
      <c r="C12" s="13" t="s">
        <v>28</v>
      </c>
      <c r="D12" s="12"/>
      <c r="E12" s="14" t="s">
        <v>29</v>
      </c>
      <c r="F12" s="14">
        <v>0.0</v>
      </c>
      <c r="G12" s="15">
        <f t="shared" si="2"/>
        <v>143.319</v>
      </c>
      <c r="H12" s="16">
        <f t="shared" si="1"/>
        <v>146.652</v>
      </c>
      <c r="I12" s="14" t="s">
        <v>30</v>
      </c>
    </row>
    <row r="13" ht="15.75" customHeight="1">
      <c r="A13" s="22" t="s">
        <v>31</v>
      </c>
      <c r="B13" s="3"/>
      <c r="C13" s="13"/>
      <c r="D13" s="12" t="s">
        <v>32</v>
      </c>
      <c r="E13" s="18" t="s">
        <v>33</v>
      </c>
      <c r="F13" s="14">
        <v>0.0</v>
      </c>
      <c r="G13" s="23">
        <f t="shared" si="2"/>
        <v>146.652</v>
      </c>
      <c r="H13" s="20">
        <f t="shared" si="1"/>
        <v>149.985</v>
      </c>
      <c r="I13" s="14" t="s">
        <v>102</v>
      </c>
    </row>
    <row r="14" ht="15.75" customHeight="1">
      <c r="A14" s="17" t="s">
        <v>35</v>
      </c>
      <c r="B14" s="12">
        <v>110.0</v>
      </c>
      <c r="C14" s="13"/>
      <c r="D14" s="12"/>
      <c r="E14" s="14" t="s">
        <v>36</v>
      </c>
      <c r="F14" s="14">
        <v>0.0</v>
      </c>
      <c r="G14" s="24">
        <f t="shared" si="2"/>
        <v>149.985</v>
      </c>
      <c r="H14" s="16">
        <f t="shared" si="1"/>
        <v>153.318</v>
      </c>
      <c r="I14" s="14" t="s">
        <v>37</v>
      </c>
    </row>
    <row r="15" ht="15.75" customHeight="1">
      <c r="A15" s="17" t="s">
        <v>38</v>
      </c>
      <c r="B15" s="12">
        <v>50.0</v>
      </c>
      <c r="C15" s="13"/>
      <c r="D15" s="12" t="s">
        <v>39</v>
      </c>
      <c r="E15" s="14" t="s">
        <v>40</v>
      </c>
      <c r="F15" s="14">
        <v>0.0</v>
      </c>
      <c r="G15" s="15">
        <f t="shared" si="2"/>
        <v>153.318</v>
      </c>
      <c r="H15" s="16">
        <f t="shared" si="1"/>
        <v>156.651</v>
      </c>
      <c r="I15" s="14" t="s">
        <v>41</v>
      </c>
    </row>
    <row r="16" ht="15.75" customHeight="1">
      <c r="A16" s="17" t="s">
        <v>42</v>
      </c>
      <c r="B16" s="12">
        <v>100.0</v>
      </c>
      <c r="C16" s="13"/>
      <c r="D16" s="12"/>
      <c r="E16" s="14" t="s">
        <v>43</v>
      </c>
      <c r="F16" s="14">
        <v>4.0</v>
      </c>
      <c r="G16" s="15">
        <f t="shared" si="2"/>
        <v>156.651</v>
      </c>
      <c r="H16" s="16">
        <f t="shared" si="1"/>
        <v>186.648</v>
      </c>
      <c r="I16" s="14" t="s">
        <v>44</v>
      </c>
    </row>
    <row r="17" ht="15.75" customHeight="1">
      <c r="A17" s="17" t="s">
        <v>45</v>
      </c>
      <c r="B17" s="12">
        <v>15.0</v>
      </c>
      <c r="C17" s="13"/>
      <c r="D17" s="12"/>
      <c r="E17" s="18" t="s">
        <v>33</v>
      </c>
      <c r="F17" s="14">
        <v>0.0</v>
      </c>
      <c r="G17" s="19">
        <f t="shared" si="2"/>
        <v>186.648</v>
      </c>
      <c r="H17" s="20">
        <f t="shared" si="1"/>
        <v>189.981</v>
      </c>
      <c r="I17" s="14" t="s">
        <v>103</v>
      </c>
    </row>
    <row r="18" ht="15.75" customHeight="1">
      <c r="A18" s="17" t="s">
        <v>47</v>
      </c>
      <c r="B18" s="12">
        <v>15.0</v>
      </c>
      <c r="C18" s="13"/>
      <c r="D18" s="12"/>
      <c r="E18" s="14" t="s">
        <v>22</v>
      </c>
      <c r="F18" s="14">
        <v>0.0</v>
      </c>
      <c r="G18" s="19">
        <f t="shared" si="2"/>
        <v>189.981</v>
      </c>
      <c r="H18" s="16">
        <f t="shared" si="1"/>
        <v>193.314</v>
      </c>
      <c r="I18" s="14" t="s">
        <v>104</v>
      </c>
    </row>
    <row r="19" ht="15.75" customHeight="1">
      <c r="A19" s="17" t="s">
        <v>49</v>
      </c>
      <c r="B19" s="12">
        <v>100.0</v>
      </c>
      <c r="C19" s="13"/>
      <c r="D19" s="12"/>
      <c r="E19" s="14" t="s">
        <v>50</v>
      </c>
      <c r="F19" s="14">
        <v>5.0</v>
      </c>
      <c r="G19" s="15">
        <f t="shared" si="2"/>
        <v>193.314</v>
      </c>
      <c r="H19" s="16">
        <f t="shared" si="1"/>
        <v>216.645</v>
      </c>
      <c r="I19" s="14" t="s">
        <v>51</v>
      </c>
    </row>
    <row r="20" ht="15.75" customHeight="1">
      <c r="A20" s="17" t="s">
        <v>52</v>
      </c>
      <c r="B20" s="12">
        <v>25.0</v>
      </c>
      <c r="C20" s="13"/>
      <c r="D20" s="12"/>
      <c r="E20" s="14" t="s">
        <v>53</v>
      </c>
      <c r="F20" s="14">
        <v>0.0</v>
      </c>
      <c r="G20" s="19">
        <f t="shared" si="2"/>
        <v>216.645</v>
      </c>
      <c r="H20" s="16">
        <f t="shared" si="1"/>
        <v>219.978</v>
      </c>
      <c r="I20" s="14" t="s">
        <v>105</v>
      </c>
    </row>
    <row r="21" ht="15.75" customHeight="1">
      <c r="A21" s="17" t="s">
        <v>55</v>
      </c>
      <c r="B21" s="14">
        <v>25.0</v>
      </c>
      <c r="C21" s="13"/>
      <c r="D21" s="12"/>
      <c r="E21" s="14" t="s">
        <v>17</v>
      </c>
      <c r="F21" s="14">
        <v>0.0</v>
      </c>
      <c r="G21" s="19">
        <f t="shared" si="2"/>
        <v>219.978</v>
      </c>
      <c r="H21" s="16">
        <f t="shared" si="1"/>
        <v>223.311</v>
      </c>
      <c r="I21" s="14" t="s">
        <v>106</v>
      </c>
    </row>
    <row r="22" ht="15.75" customHeight="1">
      <c r="A22" s="17" t="s">
        <v>57</v>
      </c>
      <c r="B22" s="12">
        <v>25.0</v>
      </c>
      <c r="C22" s="13"/>
      <c r="D22" s="12"/>
      <c r="E22" s="14" t="s">
        <v>58</v>
      </c>
      <c r="F22" s="14">
        <v>0.0</v>
      </c>
      <c r="G22" s="15">
        <f t="shared" si="2"/>
        <v>223.311</v>
      </c>
      <c r="H22" s="16">
        <f t="shared" si="1"/>
        <v>226.644</v>
      </c>
      <c r="I22" s="14"/>
    </row>
    <row r="23" ht="15.75" customHeight="1">
      <c r="A23" s="17" t="s">
        <v>59</v>
      </c>
      <c r="B23" s="12">
        <v>45.0</v>
      </c>
      <c r="C23" s="13"/>
      <c r="D23" s="12"/>
      <c r="E23" s="14" t="s">
        <v>60</v>
      </c>
      <c r="F23" s="14">
        <v>6.0</v>
      </c>
      <c r="G23" s="15">
        <f t="shared" si="2"/>
        <v>226.644</v>
      </c>
      <c r="H23" s="16">
        <f t="shared" si="1"/>
        <v>239.976</v>
      </c>
      <c r="I23" s="14" t="s">
        <v>61</v>
      </c>
    </row>
    <row r="24" ht="15.75" customHeight="1">
      <c r="A24" s="17" t="s">
        <v>62</v>
      </c>
      <c r="B24" s="12">
        <v>115.0</v>
      </c>
      <c r="C24" s="13"/>
      <c r="D24" s="12"/>
      <c r="E24" s="18" t="s">
        <v>63</v>
      </c>
      <c r="F24" s="14">
        <v>0.0</v>
      </c>
      <c r="G24" s="19">
        <f t="shared" si="2"/>
        <v>239.976</v>
      </c>
      <c r="H24" s="16">
        <f t="shared" si="1"/>
        <v>243.309</v>
      </c>
      <c r="I24" s="18" t="s">
        <v>107</v>
      </c>
    </row>
    <row r="25" ht="15.75" customHeight="1">
      <c r="A25" s="17" t="s">
        <v>65</v>
      </c>
      <c r="B25" s="12">
        <v>55.0</v>
      </c>
      <c r="C25" s="13"/>
      <c r="D25" s="12"/>
      <c r="E25" s="14" t="s">
        <v>66</v>
      </c>
      <c r="F25" s="14">
        <v>0.0</v>
      </c>
      <c r="G25" s="25">
        <v>0.0</v>
      </c>
      <c r="H25" s="26">
        <f>G25+3.333</f>
        <v>3.333</v>
      </c>
      <c r="I25" s="14"/>
    </row>
    <row r="26" ht="15.75" customHeight="1">
      <c r="A26" s="17" t="s">
        <v>67</v>
      </c>
      <c r="B26" s="12">
        <v>235.0</v>
      </c>
      <c r="C26" s="13"/>
      <c r="D26" s="12" t="s">
        <v>68</v>
      </c>
      <c r="E26" s="14" t="s">
        <v>69</v>
      </c>
      <c r="F26" s="14">
        <v>0.0</v>
      </c>
      <c r="G26" s="15">
        <v>0.0</v>
      </c>
      <c r="H26" s="16">
        <f t="shared" ref="H26:H30" si="3">G26+(offset($B$4,$F26,0)+1)*3.333</f>
        <v>3.333</v>
      </c>
      <c r="I26" s="14" t="s">
        <v>70</v>
      </c>
    </row>
    <row r="27" ht="15.75" customHeight="1">
      <c r="A27" s="17" t="s">
        <v>71</v>
      </c>
      <c r="B27" s="12">
        <v>285.0</v>
      </c>
      <c r="C27" s="13"/>
      <c r="D27" s="12" t="s">
        <v>72</v>
      </c>
      <c r="E27" s="14" t="s">
        <v>73</v>
      </c>
      <c r="F27" s="14">
        <v>0.0</v>
      </c>
      <c r="G27" s="15">
        <f t="shared" ref="G27:G30" si="4">H26</f>
        <v>3.333</v>
      </c>
      <c r="H27" s="16">
        <f t="shared" si="3"/>
        <v>6.666</v>
      </c>
      <c r="I27" s="14"/>
    </row>
    <row r="28" ht="15.75" customHeight="1">
      <c r="A28" s="17" t="s">
        <v>74</v>
      </c>
      <c r="B28" s="12">
        <v>70.0</v>
      </c>
      <c r="C28" s="13"/>
      <c r="D28" s="12"/>
      <c r="E28" s="14" t="s">
        <v>75</v>
      </c>
      <c r="F28" s="14">
        <v>0.0</v>
      </c>
      <c r="G28" s="15">
        <f t="shared" si="4"/>
        <v>6.666</v>
      </c>
      <c r="H28" s="16">
        <f t="shared" si="3"/>
        <v>9.999</v>
      </c>
      <c r="I28" s="14"/>
    </row>
    <row r="29" ht="15.75" customHeight="1">
      <c r="A29" s="17"/>
      <c r="B29" s="12"/>
      <c r="C29" s="13"/>
      <c r="D29" s="12"/>
      <c r="E29" s="14" t="s">
        <v>76</v>
      </c>
      <c r="F29" s="14">
        <v>0.0</v>
      </c>
      <c r="G29" s="15">
        <f t="shared" si="4"/>
        <v>9.999</v>
      </c>
      <c r="H29" s="16">
        <f t="shared" si="3"/>
        <v>13.332</v>
      </c>
      <c r="I29" s="14"/>
    </row>
    <row r="30" ht="15.75" customHeight="1">
      <c r="A30" s="17"/>
      <c r="B30" s="12"/>
      <c r="C30" s="13"/>
      <c r="D30" s="12"/>
      <c r="E30" s="14" t="s">
        <v>77</v>
      </c>
      <c r="F30" s="14">
        <v>0.0</v>
      </c>
      <c r="G30" s="15">
        <f t="shared" si="4"/>
        <v>13.332</v>
      </c>
      <c r="H30" s="16">
        <f t="shared" si="3"/>
        <v>16.665</v>
      </c>
      <c r="I30" s="14"/>
    </row>
    <row r="31" ht="15.75" customHeight="1">
      <c r="A31" s="17"/>
      <c r="B31" s="12"/>
      <c r="C31" s="13"/>
      <c r="D31" s="12"/>
      <c r="E31" s="14" t="s">
        <v>78</v>
      </c>
      <c r="F31" s="14">
        <v>7.0</v>
      </c>
      <c r="G31" s="27"/>
      <c r="H31" s="14"/>
      <c r="I31" s="14" t="s">
        <v>79</v>
      </c>
    </row>
    <row r="32" ht="15.75" customHeight="1">
      <c r="A32" s="17"/>
      <c r="B32" s="12"/>
      <c r="C32" s="13"/>
      <c r="D32" s="12"/>
      <c r="E32" s="14" t="s">
        <v>80</v>
      </c>
      <c r="F32" s="14">
        <v>0.0</v>
      </c>
      <c r="G32" s="27"/>
      <c r="H32" s="14"/>
      <c r="I32" s="1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B2"/>
    <mergeCell ref="G2:I2"/>
    <mergeCell ref="A13:B13"/>
  </mergeCells>
  <conditionalFormatting sqref="G24">
    <cfRule type="expression" dxfId="0" priority="1">
      <formula> round($G$24 - $H$7, 1) &lt; VLOOKUP("tRAS",$A$14:$B$32, 2, False)</formula>
    </cfRule>
  </conditionalFormatting>
  <conditionalFormatting sqref="G24">
    <cfRule type="expression" dxfId="1" priority="2">
      <formula> round($G$24 - $H$26, 1) &lt; VLOOKUP("tRC",$A$14:$B$32, 2, False)</formula>
    </cfRule>
  </conditionalFormatting>
  <conditionalFormatting sqref="G13">
    <cfRule type="expression" dxfId="0" priority="3">
      <formula>round($G$13-$H$7, 1) &lt; VLOOKUP("tRCD(min)",$A$14:$B$32,2,false)</formula>
    </cfRule>
  </conditionalFormatting>
  <conditionalFormatting sqref="G13">
    <cfRule type="expression" dxfId="1" priority="4">
      <formula>round($G$13-$H$26,1) &lt; VLOOKUP("tCPN",$A$14:$B$32,2,False)</formula>
    </cfRule>
  </conditionalFormatting>
  <conditionalFormatting sqref="G13">
    <cfRule type="expression" dxfId="2" priority="5">
      <formula>round($G$13-$H$7, 1) &gt;= VLOOKUP("tRCD(max)",$A$14:$B$32,2,false)</formula>
    </cfRule>
  </conditionalFormatting>
  <conditionalFormatting sqref="G18">
    <cfRule type="expression" dxfId="0" priority="6">
      <formula> round($G$18 - $H$11, 1) &lt; VLOOKUP("tCAH",$A$14:$B$26,2,False)</formula>
    </cfRule>
  </conditionalFormatting>
  <conditionalFormatting sqref="G7">
    <cfRule type="expression" dxfId="0" priority="7">
      <formula>round($G$7-$H$26,1) &lt; VLOOKUP("tRP",$A$14:$B$32,2,False)</formula>
    </cfRule>
  </conditionalFormatting>
  <conditionalFormatting sqref="G9">
    <cfRule type="expression" dxfId="0" priority="8">
      <formula> round($G$9 - $H$7, 1) &lt; VLOOKUP("tRAH",$A$14:$B$32,2,False)</formula>
    </cfRule>
  </conditionalFormatting>
  <conditionalFormatting sqref="G17">
    <cfRule type="expression" dxfId="0" priority="9">
      <formula> round($G$17 - $H$11, 1) &lt; VLOOKUP("tWP",$A$14:$B$32,2,False)</formula>
    </cfRule>
  </conditionalFormatting>
  <conditionalFormatting sqref="G11">
    <cfRule type="expression" dxfId="1" priority="10">
      <formula>round($G$11-$H$26,1) &lt; VLOOKUP("tCPN",$A$14:$B$32,2,False)</formula>
    </cfRule>
  </conditionalFormatting>
  <conditionalFormatting sqref="G18">
    <cfRule type="expression" dxfId="0" priority="11">
      <formula> round($G$18 - $H$13, 1) &lt; VLOOKUP("tCAH",$A$14:$B$26,2,False)</formula>
    </cfRule>
  </conditionalFormatting>
  <conditionalFormatting sqref="G20">
    <cfRule type="expression" dxfId="0" priority="12">
      <formula> round($G$20 - $H$7, 1) &lt; VLOOKUP("tRAC",$A$14:$B$26,2,False)</formula>
    </cfRule>
  </conditionalFormatting>
  <conditionalFormatting sqref="G17">
    <cfRule type="expression" dxfId="1" priority="13">
      <formula> round($G$17 - $H$11, 1) &lt; VLOOKUP("tWCH",$A$14:$B$32,2,False)</formula>
    </cfRule>
  </conditionalFormatting>
  <conditionalFormatting sqref="G21">
    <cfRule type="expression" dxfId="0" priority="14">
      <formula>round($G$21 - $H$13, 1) &lt; vlookup("tCAS", $A$14:$B$32, 2, False)</formula>
    </cfRule>
  </conditionalFormatting>
  <conditionalFormatting sqref="G17">
    <cfRule type="expression" dxfId="3" priority="15">
      <formula> round($G$17 - $H$7, 1) &lt; VLOOKUP("tWCR",$A$14:$B$32,2,False)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8.63"/>
    <col customWidth="1" min="3" max="3" width="5.25"/>
    <col customWidth="1" min="4" max="4" width="14.88"/>
    <col customWidth="1" min="5" max="5" width="19.88"/>
    <col customWidth="1" min="6" max="6" width="6.38"/>
    <col customWidth="1" min="7" max="7" width="11.38"/>
    <col customWidth="1" min="8" max="8" width="10.38"/>
    <col customWidth="1" min="9" max="9" width="141.63"/>
  </cols>
  <sheetData>
    <row r="1" ht="15.75" customHeight="1">
      <c r="H1" s="1"/>
      <c r="I1" s="1"/>
    </row>
    <row r="2" ht="15.75" customHeight="1">
      <c r="A2" s="2" t="s">
        <v>0</v>
      </c>
      <c r="B2" s="3"/>
      <c r="F2" s="4"/>
      <c r="G2" s="5" t="s">
        <v>1</v>
      </c>
      <c r="H2" s="6"/>
      <c r="I2" s="3"/>
    </row>
    <row r="3" ht="15.75" customHeight="1">
      <c r="A3" s="7" t="s">
        <v>2</v>
      </c>
      <c r="B3" s="8" t="s">
        <v>3</v>
      </c>
      <c r="C3" s="9"/>
      <c r="D3" s="8" t="s">
        <v>4</v>
      </c>
      <c r="E3" s="10" t="s">
        <v>5</v>
      </c>
      <c r="F3" s="10" t="s">
        <v>6</v>
      </c>
      <c r="G3" s="11" t="s">
        <v>7</v>
      </c>
      <c r="H3" s="10" t="s">
        <v>8</v>
      </c>
      <c r="I3" s="7" t="s">
        <v>9</v>
      </c>
    </row>
    <row r="4" ht="15.75" customHeight="1">
      <c r="A4" s="7">
        <v>0.0</v>
      </c>
      <c r="B4" s="12">
        <v>0.0</v>
      </c>
      <c r="C4" s="13"/>
      <c r="D4" s="12" t="s">
        <v>10</v>
      </c>
      <c r="E4" s="14" t="s">
        <v>11</v>
      </c>
      <c r="F4" s="14">
        <v>1.0</v>
      </c>
      <c r="G4" s="15">
        <f>H30</f>
        <v>16.665</v>
      </c>
      <c r="H4" s="16">
        <f t="shared" ref="H4:H24" si="1">G4+(offset($B$4,$F4,0)+1)*3.333</f>
        <v>19.998</v>
      </c>
      <c r="I4" s="14" t="s">
        <v>12</v>
      </c>
    </row>
    <row r="5" ht="15.75" customHeight="1">
      <c r="A5" s="17">
        <v>1.0</v>
      </c>
      <c r="B5" s="12">
        <v>0.0</v>
      </c>
      <c r="C5" s="13"/>
      <c r="D5" s="12"/>
      <c r="E5" s="14" t="s">
        <v>13</v>
      </c>
      <c r="F5" s="14">
        <v>2.0</v>
      </c>
      <c r="G5" s="15">
        <f t="shared" ref="G5:G24" si="2">H4</f>
        <v>19.998</v>
      </c>
      <c r="H5" s="16">
        <f t="shared" si="1"/>
        <v>119.988</v>
      </c>
      <c r="I5" s="14" t="s">
        <v>14</v>
      </c>
    </row>
    <row r="6" ht="15.75" customHeight="1">
      <c r="A6" s="17">
        <v>2.0</v>
      </c>
      <c r="B6" s="12">
        <v>29.0</v>
      </c>
      <c r="C6" s="13"/>
      <c r="D6" s="12"/>
      <c r="E6" s="14" t="s">
        <v>15</v>
      </c>
      <c r="F6" s="14">
        <v>0.0</v>
      </c>
      <c r="G6" s="15">
        <f t="shared" si="2"/>
        <v>119.988</v>
      </c>
      <c r="H6" s="16">
        <f t="shared" si="1"/>
        <v>123.321</v>
      </c>
      <c r="I6" s="14" t="s">
        <v>16</v>
      </c>
    </row>
    <row r="7" ht="15.75" customHeight="1">
      <c r="A7" s="17">
        <v>3.0</v>
      </c>
      <c r="B7" s="12">
        <v>4.0</v>
      </c>
      <c r="C7" s="13"/>
      <c r="D7" s="12"/>
      <c r="E7" s="18" t="s">
        <v>17</v>
      </c>
      <c r="F7" s="14">
        <v>0.0</v>
      </c>
      <c r="G7" s="19">
        <f t="shared" si="2"/>
        <v>123.321</v>
      </c>
      <c r="H7" s="20">
        <f t="shared" si="1"/>
        <v>126.654</v>
      </c>
      <c r="I7" s="14" t="s">
        <v>108</v>
      </c>
    </row>
    <row r="8" ht="15.75" customHeight="1">
      <c r="A8" s="17">
        <v>4.0</v>
      </c>
      <c r="B8" s="12">
        <v>13.0</v>
      </c>
      <c r="C8" s="13"/>
      <c r="D8" s="12"/>
      <c r="E8" s="14" t="s">
        <v>19</v>
      </c>
      <c r="F8" s="14">
        <v>3.0</v>
      </c>
      <c r="G8" s="15">
        <f t="shared" si="2"/>
        <v>126.654</v>
      </c>
      <c r="H8" s="16">
        <f t="shared" si="1"/>
        <v>143.319</v>
      </c>
      <c r="I8" s="14" t="s">
        <v>20</v>
      </c>
    </row>
    <row r="9" ht="15.75" customHeight="1">
      <c r="A9" s="17">
        <v>5.0</v>
      </c>
      <c r="B9" s="12">
        <v>7.0</v>
      </c>
      <c r="C9" s="13"/>
      <c r="D9" s="12" t="s">
        <v>21</v>
      </c>
      <c r="E9" s="18" t="s">
        <v>22</v>
      </c>
      <c r="F9" s="14">
        <v>0.0</v>
      </c>
      <c r="G9" s="19">
        <f t="shared" si="2"/>
        <v>143.319</v>
      </c>
      <c r="H9" s="16">
        <f t="shared" si="1"/>
        <v>146.652</v>
      </c>
      <c r="I9" s="14" t="s">
        <v>109</v>
      </c>
    </row>
    <row r="10" ht="15.75" customHeight="1">
      <c r="A10" s="17">
        <v>6.0</v>
      </c>
      <c r="B10" s="12">
        <v>4.0</v>
      </c>
      <c r="C10" s="13"/>
      <c r="D10" s="12"/>
      <c r="E10" s="14" t="s">
        <v>24</v>
      </c>
      <c r="F10" s="14">
        <v>0.0</v>
      </c>
      <c r="G10" s="15">
        <f t="shared" si="2"/>
        <v>146.652</v>
      </c>
      <c r="H10" s="16">
        <f t="shared" si="1"/>
        <v>149.985</v>
      </c>
      <c r="I10" s="14" t="s">
        <v>25</v>
      </c>
    </row>
    <row r="11" ht="15.75" customHeight="1">
      <c r="A11" s="17">
        <v>7.0</v>
      </c>
      <c r="B11" s="12">
        <v>0.0</v>
      </c>
      <c r="C11" s="13"/>
      <c r="D11" s="12"/>
      <c r="E11" s="14" t="s">
        <v>26</v>
      </c>
      <c r="F11" s="14">
        <v>0.0</v>
      </c>
      <c r="G11" s="19">
        <f t="shared" si="2"/>
        <v>149.985</v>
      </c>
      <c r="H11" s="20">
        <f t="shared" si="1"/>
        <v>153.318</v>
      </c>
      <c r="I11" s="14" t="s">
        <v>110</v>
      </c>
    </row>
    <row r="12" ht="15.75" customHeight="1">
      <c r="A12" s="13"/>
      <c r="B12" s="13"/>
      <c r="C12" s="13" t="s">
        <v>28</v>
      </c>
      <c r="D12" s="12"/>
      <c r="E12" s="14" t="s">
        <v>29</v>
      </c>
      <c r="F12" s="14">
        <v>0.0</v>
      </c>
      <c r="G12" s="15">
        <f t="shared" si="2"/>
        <v>153.318</v>
      </c>
      <c r="H12" s="16">
        <f t="shared" si="1"/>
        <v>156.651</v>
      </c>
      <c r="I12" s="14" t="s">
        <v>30</v>
      </c>
    </row>
    <row r="13" ht="15.75" customHeight="1">
      <c r="A13" s="22" t="s">
        <v>31</v>
      </c>
      <c r="B13" s="3"/>
      <c r="C13" s="13"/>
      <c r="D13" s="12" t="s">
        <v>32</v>
      </c>
      <c r="E13" s="18" t="s">
        <v>33</v>
      </c>
      <c r="F13" s="14">
        <v>0.0</v>
      </c>
      <c r="G13" s="23">
        <f t="shared" si="2"/>
        <v>156.651</v>
      </c>
      <c r="H13" s="20">
        <f t="shared" si="1"/>
        <v>159.984</v>
      </c>
      <c r="I13" s="14" t="s">
        <v>111</v>
      </c>
    </row>
    <row r="14" ht="15.75" customHeight="1">
      <c r="A14" s="17" t="s">
        <v>35</v>
      </c>
      <c r="B14" s="12">
        <v>120.0</v>
      </c>
      <c r="C14" s="13"/>
      <c r="D14" s="12"/>
      <c r="E14" s="14" t="s">
        <v>36</v>
      </c>
      <c r="F14" s="14">
        <v>0.0</v>
      </c>
      <c r="G14" s="24">
        <f t="shared" si="2"/>
        <v>159.984</v>
      </c>
      <c r="H14" s="16">
        <f t="shared" si="1"/>
        <v>163.317</v>
      </c>
      <c r="I14" s="14" t="s">
        <v>37</v>
      </c>
    </row>
    <row r="15" ht="15.75" customHeight="1">
      <c r="A15" s="17" t="s">
        <v>38</v>
      </c>
      <c r="B15" s="12">
        <v>55.0</v>
      </c>
      <c r="C15" s="13"/>
      <c r="D15" s="12" t="s">
        <v>39</v>
      </c>
      <c r="E15" s="14" t="s">
        <v>40</v>
      </c>
      <c r="F15" s="14">
        <v>0.0</v>
      </c>
      <c r="G15" s="15">
        <f t="shared" si="2"/>
        <v>163.317</v>
      </c>
      <c r="H15" s="16">
        <f t="shared" si="1"/>
        <v>166.65</v>
      </c>
      <c r="I15" s="14" t="s">
        <v>41</v>
      </c>
    </row>
    <row r="16" ht="15.75" customHeight="1">
      <c r="A16" s="17" t="s">
        <v>42</v>
      </c>
      <c r="B16" s="12">
        <v>120.0</v>
      </c>
      <c r="C16" s="13"/>
      <c r="D16" s="12"/>
      <c r="E16" s="14" t="s">
        <v>43</v>
      </c>
      <c r="F16" s="14">
        <v>4.0</v>
      </c>
      <c r="G16" s="15">
        <f t="shared" si="2"/>
        <v>166.65</v>
      </c>
      <c r="H16" s="16">
        <f t="shared" si="1"/>
        <v>213.312</v>
      </c>
      <c r="I16" s="14" t="s">
        <v>44</v>
      </c>
    </row>
    <row r="17" ht="15.75" customHeight="1">
      <c r="A17" s="17" t="s">
        <v>45</v>
      </c>
      <c r="B17" s="12">
        <v>15.0</v>
      </c>
      <c r="C17" s="13"/>
      <c r="D17" s="12"/>
      <c r="E17" s="18" t="s">
        <v>33</v>
      </c>
      <c r="F17" s="14">
        <v>0.0</v>
      </c>
      <c r="G17" s="19">
        <f t="shared" si="2"/>
        <v>213.312</v>
      </c>
      <c r="H17" s="20">
        <f t="shared" si="1"/>
        <v>216.645</v>
      </c>
      <c r="I17" s="14" t="s">
        <v>112</v>
      </c>
    </row>
    <row r="18" ht="15.75" customHeight="1">
      <c r="A18" s="17" t="s">
        <v>47</v>
      </c>
      <c r="B18" s="12">
        <v>20.0</v>
      </c>
      <c r="C18" s="13"/>
      <c r="D18" s="12"/>
      <c r="E18" s="14" t="s">
        <v>22</v>
      </c>
      <c r="F18" s="14">
        <v>0.0</v>
      </c>
      <c r="G18" s="19">
        <f t="shared" si="2"/>
        <v>216.645</v>
      </c>
      <c r="H18" s="16">
        <f t="shared" si="1"/>
        <v>219.978</v>
      </c>
      <c r="I18" s="14" t="s">
        <v>113</v>
      </c>
    </row>
    <row r="19" ht="15.75" customHeight="1">
      <c r="A19" s="17" t="s">
        <v>49</v>
      </c>
      <c r="B19" s="12">
        <v>120.0</v>
      </c>
      <c r="C19" s="13"/>
      <c r="D19" s="12"/>
      <c r="E19" s="14" t="s">
        <v>50</v>
      </c>
      <c r="F19" s="14">
        <v>5.0</v>
      </c>
      <c r="G19" s="15">
        <f t="shared" si="2"/>
        <v>219.978</v>
      </c>
      <c r="H19" s="16">
        <f t="shared" si="1"/>
        <v>246.642</v>
      </c>
      <c r="I19" s="14" t="s">
        <v>51</v>
      </c>
    </row>
    <row r="20" ht="15.75" customHeight="1">
      <c r="A20" s="17" t="s">
        <v>52</v>
      </c>
      <c r="B20" s="12">
        <v>30.0</v>
      </c>
      <c r="C20" s="13"/>
      <c r="D20" s="12"/>
      <c r="E20" s="14" t="s">
        <v>53</v>
      </c>
      <c r="F20" s="14">
        <v>0.0</v>
      </c>
      <c r="G20" s="19">
        <f t="shared" si="2"/>
        <v>246.642</v>
      </c>
      <c r="H20" s="16">
        <f t="shared" si="1"/>
        <v>249.975</v>
      </c>
      <c r="I20" s="14" t="s">
        <v>114</v>
      </c>
    </row>
    <row r="21" ht="15.75" customHeight="1">
      <c r="A21" s="17" t="s">
        <v>55</v>
      </c>
      <c r="B21" s="14">
        <v>30.0</v>
      </c>
      <c r="C21" s="13"/>
      <c r="D21" s="12"/>
      <c r="E21" s="14" t="s">
        <v>17</v>
      </c>
      <c r="F21" s="14">
        <v>0.0</v>
      </c>
      <c r="G21" s="19">
        <f t="shared" si="2"/>
        <v>249.975</v>
      </c>
      <c r="H21" s="16">
        <f t="shared" si="1"/>
        <v>253.308</v>
      </c>
      <c r="I21" s="14" t="s">
        <v>115</v>
      </c>
    </row>
    <row r="22" ht="15.75" customHeight="1">
      <c r="A22" s="17" t="s">
        <v>57</v>
      </c>
      <c r="B22" s="12">
        <v>25.0</v>
      </c>
      <c r="C22" s="13"/>
      <c r="D22" s="12"/>
      <c r="E22" s="14" t="s">
        <v>58</v>
      </c>
      <c r="F22" s="14">
        <v>0.0</v>
      </c>
      <c r="G22" s="15">
        <f t="shared" si="2"/>
        <v>253.308</v>
      </c>
      <c r="H22" s="16">
        <f t="shared" si="1"/>
        <v>256.641</v>
      </c>
      <c r="I22" s="14"/>
    </row>
    <row r="23" ht="15.75" customHeight="1">
      <c r="A23" s="17" t="s">
        <v>59</v>
      </c>
      <c r="B23" s="12">
        <v>55.0</v>
      </c>
      <c r="C23" s="13"/>
      <c r="D23" s="12"/>
      <c r="E23" s="14" t="s">
        <v>60</v>
      </c>
      <c r="F23" s="14">
        <v>6.0</v>
      </c>
      <c r="G23" s="15">
        <f t="shared" si="2"/>
        <v>256.641</v>
      </c>
      <c r="H23" s="16">
        <f t="shared" si="1"/>
        <v>273.306</v>
      </c>
      <c r="I23" s="14" t="s">
        <v>61</v>
      </c>
    </row>
    <row r="24" ht="15.75" customHeight="1">
      <c r="A24" s="17" t="s">
        <v>62</v>
      </c>
      <c r="B24" s="12">
        <v>140.0</v>
      </c>
      <c r="C24" s="13"/>
      <c r="D24" s="12"/>
      <c r="E24" s="18" t="s">
        <v>63</v>
      </c>
      <c r="F24" s="14">
        <v>0.0</v>
      </c>
      <c r="G24" s="19">
        <f t="shared" si="2"/>
        <v>273.306</v>
      </c>
      <c r="H24" s="16">
        <f t="shared" si="1"/>
        <v>276.639</v>
      </c>
      <c r="I24" s="18" t="s">
        <v>116</v>
      </c>
    </row>
    <row r="25" ht="15.75" customHeight="1">
      <c r="A25" s="17" t="s">
        <v>65</v>
      </c>
      <c r="B25" s="12">
        <v>65.0</v>
      </c>
      <c r="C25" s="13"/>
      <c r="D25" s="12"/>
      <c r="E25" s="14" t="s">
        <v>66</v>
      </c>
      <c r="F25" s="14">
        <v>0.0</v>
      </c>
      <c r="G25" s="25">
        <v>0.0</v>
      </c>
      <c r="H25" s="26">
        <f>G25+3.333</f>
        <v>3.333</v>
      </c>
      <c r="I25" s="14"/>
    </row>
    <row r="26" ht="15.75" customHeight="1">
      <c r="A26" s="17" t="s">
        <v>67</v>
      </c>
      <c r="B26" s="12">
        <v>270.0</v>
      </c>
      <c r="C26" s="13"/>
      <c r="D26" s="12" t="s">
        <v>68</v>
      </c>
      <c r="E26" s="14" t="s">
        <v>69</v>
      </c>
      <c r="F26" s="14">
        <v>0.0</v>
      </c>
      <c r="G26" s="15">
        <v>0.0</v>
      </c>
      <c r="H26" s="16">
        <f t="shared" ref="H26:H30" si="3">G26+(offset($B$4,$F26,0)+1)*3.333</f>
        <v>3.333</v>
      </c>
      <c r="I26" s="14" t="s">
        <v>70</v>
      </c>
    </row>
    <row r="27" ht="15.75" customHeight="1">
      <c r="A27" s="17" t="s">
        <v>71</v>
      </c>
      <c r="B27" s="12">
        <v>320.0</v>
      </c>
      <c r="C27" s="13"/>
      <c r="D27" s="12" t="s">
        <v>72</v>
      </c>
      <c r="E27" s="14" t="s">
        <v>73</v>
      </c>
      <c r="F27" s="14">
        <v>0.0</v>
      </c>
      <c r="G27" s="15">
        <f t="shared" ref="G27:G30" si="4">H26</f>
        <v>3.333</v>
      </c>
      <c r="H27" s="16">
        <f t="shared" si="3"/>
        <v>6.666</v>
      </c>
      <c r="I27" s="14"/>
    </row>
    <row r="28" ht="15.75" customHeight="1">
      <c r="A28" s="17" t="s">
        <v>74</v>
      </c>
      <c r="B28" s="12">
        <v>85.0</v>
      </c>
      <c r="C28" s="13"/>
      <c r="D28" s="12"/>
      <c r="E28" s="14" t="s">
        <v>75</v>
      </c>
      <c r="F28" s="14">
        <v>0.0</v>
      </c>
      <c r="G28" s="15">
        <f t="shared" si="4"/>
        <v>6.666</v>
      </c>
      <c r="H28" s="16">
        <f t="shared" si="3"/>
        <v>9.999</v>
      </c>
      <c r="I28" s="14"/>
    </row>
    <row r="29" ht="15.75" customHeight="1">
      <c r="A29" s="17"/>
      <c r="B29" s="12"/>
      <c r="C29" s="13"/>
      <c r="D29" s="12"/>
      <c r="E29" s="14" t="s">
        <v>76</v>
      </c>
      <c r="F29" s="14">
        <v>0.0</v>
      </c>
      <c r="G29" s="15">
        <f t="shared" si="4"/>
        <v>9.999</v>
      </c>
      <c r="H29" s="16">
        <f t="shared" si="3"/>
        <v>13.332</v>
      </c>
      <c r="I29" s="14"/>
    </row>
    <row r="30" ht="15.75" customHeight="1">
      <c r="A30" s="17"/>
      <c r="B30" s="12"/>
      <c r="C30" s="13"/>
      <c r="D30" s="12"/>
      <c r="E30" s="14" t="s">
        <v>77</v>
      </c>
      <c r="F30" s="14">
        <v>0.0</v>
      </c>
      <c r="G30" s="15">
        <f t="shared" si="4"/>
        <v>13.332</v>
      </c>
      <c r="H30" s="16">
        <f t="shared" si="3"/>
        <v>16.665</v>
      </c>
      <c r="I30" s="14"/>
    </row>
    <row r="31" ht="15.75" customHeight="1">
      <c r="A31" s="17"/>
      <c r="B31" s="12"/>
      <c r="C31" s="13"/>
      <c r="D31" s="12"/>
      <c r="E31" s="14" t="s">
        <v>78</v>
      </c>
      <c r="F31" s="14">
        <v>7.0</v>
      </c>
      <c r="G31" s="27"/>
      <c r="H31" s="14"/>
      <c r="I31" s="14" t="s">
        <v>79</v>
      </c>
    </row>
    <row r="32" ht="15.75" customHeight="1">
      <c r="A32" s="17"/>
      <c r="B32" s="12"/>
      <c r="C32" s="13"/>
      <c r="D32" s="12"/>
      <c r="E32" s="14" t="s">
        <v>80</v>
      </c>
      <c r="F32" s="14">
        <v>0.0</v>
      </c>
      <c r="G32" s="27"/>
      <c r="H32" s="14"/>
      <c r="I32" s="1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B2"/>
    <mergeCell ref="G2:I2"/>
    <mergeCell ref="A13:B13"/>
  </mergeCells>
  <conditionalFormatting sqref="G24">
    <cfRule type="expression" dxfId="0" priority="1">
      <formula> round($G$24 - $H$7, 1) &lt; VLOOKUP("tRAS",$A$14:$B$32, 2, False)</formula>
    </cfRule>
  </conditionalFormatting>
  <conditionalFormatting sqref="G24">
    <cfRule type="expression" dxfId="1" priority="2">
      <formula> round($G$24 - $H$26, 1) &lt; VLOOKUP("tRC",$A$14:$B$32, 2, False)</formula>
    </cfRule>
  </conditionalFormatting>
  <conditionalFormatting sqref="G13">
    <cfRule type="expression" dxfId="0" priority="3">
      <formula>round($G$13-$H$7, 1) &lt; VLOOKUP("tRCD(min)",$A$14:$B$32,2,false)</formula>
    </cfRule>
  </conditionalFormatting>
  <conditionalFormatting sqref="G13">
    <cfRule type="expression" dxfId="1" priority="4">
      <formula>round($G$13-$H$26,1) &lt; VLOOKUP("tCPN",$A$14:$B$32,2,False)</formula>
    </cfRule>
  </conditionalFormatting>
  <conditionalFormatting sqref="G13">
    <cfRule type="expression" dxfId="2" priority="5">
      <formula>round($G$13-$H$7, 1) &gt;= VLOOKUP("tRCD(max)",$A$14:$B$32,2,false)</formula>
    </cfRule>
  </conditionalFormatting>
  <conditionalFormatting sqref="G18">
    <cfRule type="expression" dxfId="0" priority="6">
      <formula> round($G$18 - $H$11, 1) &lt; VLOOKUP("tCAH",$A$14:$B$26,2,False)</formula>
    </cfRule>
  </conditionalFormatting>
  <conditionalFormatting sqref="G7">
    <cfRule type="expression" dxfId="0" priority="7">
      <formula>round($G$7-$H$26,1) &lt; VLOOKUP("tRP",$A$14:$B$32,2,False)</formula>
    </cfRule>
  </conditionalFormatting>
  <conditionalFormatting sqref="G9">
    <cfRule type="expression" dxfId="0" priority="8">
      <formula> round($G$9 - $H$7, 1) &lt; VLOOKUP("tRAH",$A$14:$B$32,2,False)</formula>
    </cfRule>
  </conditionalFormatting>
  <conditionalFormatting sqref="G17">
    <cfRule type="expression" dxfId="0" priority="9">
      <formula> round($G$17 - $H$11, 1) &lt; VLOOKUP("tWP",$A$14:$B$32,2,False)</formula>
    </cfRule>
  </conditionalFormatting>
  <conditionalFormatting sqref="G11">
    <cfRule type="expression" dxfId="1" priority="10">
      <formula>round($G$11-$H$26,1) &lt; VLOOKUP("tCPN",$A$14:$B$32,2,False)</formula>
    </cfRule>
  </conditionalFormatting>
  <conditionalFormatting sqref="G18">
    <cfRule type="expression" dxfId="0" priority="11">
      <formula> round($G$18 - $H$13, 1) &lt; VLOOKUP("tCAH",$A$14:$B$26,2,False)</formula>
    </cfRule>
  </conditionalFormatting>
  <conditionalFormatting sqref="G20">
    <cfRule type="expression" dxfId="0" priority="12">
      <formula> round($G$20 - $H$7, 1) &lt; VLOOKUP("tRAC",$A$14:$B$26,2,False)</formula>
    </cfRule>
  </conditionalFormatting>
  <conditionalFormatting sqref="G17">
    <cfRule type="expression" dxfId="1" priority="13">
      <formula> round($G$17 - $H$11, 1) &lt; VLOOKUP("tWCH",$A$14:$B$32,2,False)</formula>
    </cfRule>
  </conditionalFormatting>
  <conditionalFormatting sqref="G21">
    <cfRule type="expression" dxfId="0" priority="14">
      <formula>round($G$21 - $H$13, 1) &lt; vlookup("tCAS", $A$14:$B$32, 2, False)</formula>
    </cfRule>
  </conditionalFormatting>
  <conditionalFormatting sqref="G17">
    <cfRule type="expression" dxfId="3" priority="15">
      <formula> round($G$17 - $H$7, 1) &lt; VLOOKUP("tWCR",$A$14:$B$32,2,False)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8.63"/>
    <col customWidth="1" min="3" max="3" width="5.25"/>
    <col customWidth="1" min="4" max="4" width="14.88"/>
    <col customWidth="1" min="5" max="5" width="19.88"/>
    <col customWidth="1" min="6" max="6" width="6.38"/>
    <col customWidth="1" min="7" max="7" width="11.38"/>
    <col customWidth="1" min="8" max="8" width="10.38"/>
    <col customWidth="1" min="9" max="9" width="141.63"/>
  </cols>
  <sheetData>
    <row r="1" ht="15.75" customHeight="1">
      <c r="H1" s="1"/>
      <c r="I1" s="1"/>
    </row>
    <row r="2" ht="15.75" customHeight="1">
      <c r="A2" s="2" t="s">
        <v>0</v>
      </c>
      <c r="B2" s="3"/>
      <c r="F2" s="4"/>
      <c r="G2" s="5" t="s">
        <v>1</v>
      </c>
      <c r="H2" s="6"/>
      <c r="I2" s="3"/>
    </row>
    <row r="3" ht="15.75" customHeight="1">
      <c r="A3" s="7" t="s">
        <v>2</v>
      </c>
      <c r="B3" s="8" t="s">
        <v>3</v>
      </c>
      <c r="C3" s="9"/>
      <c r="D3" s="8" t="s">
        <v>4</v>
      </c>
      <c r="E3" s="10" t="s">
        <v>5</v>
      </c>
      <c r="F3" s="10" t="s">
        <v>6</v>
      </c>
      <c r="G3" s="32" t="s">
        <v>7</v>
      </c>
      <c r="H3" s="33" t="s">
        <v>8</v>
      </c>
      <c r="I3" s="34" t="s">
        <v>9</v>
      </c>
    </row>
    <row r="4" ht="15.75" customHeight="1">
      <c r="A4" s="7">
        <v>0.0</v>
      </c>
      <c r="B4" s="12">
        <v>0.0</v>
      </c>
      <c r="C4" s="13"/>
      <c r="D4" s="35" t="s">
        <v>10</v>
      </c>
      <c r="E4" s="36" t="s">
        <v>11</v>
      </c>
      <c r="F4" s="36">
        <v>1.0</v>
      </c>
      <c r="G4" s="37">
        <f>H30</f>
        <v>16.665</v>
      </c>
      <c r="H4" s="37">
        <f t="shared" ref="H4:H24" si="1">G4+(offset($B$4,$F4,0)+1)*3.333</f>
        <v>19.998</v>
      </c>
      <c r="I4" s="36" t="s">
        <v>12</v>
      </c>
    </row>
    <row r="5" ht="15.75" customHeight="1">
      <c r="A5" s="17">
        <v>1.0</v>
      </c>
      <c r="B5" s="12">
        <v>0.0</v>
      </c>
      <c r="C5" s="13"/>
      <c r="D5" s="12"/>
      <c r="E5" s="14" t="s">
        <v>13</v>
      </c>
      <c r="F5" s="14">
        <v>2.0</v>
      </c>
      <c r="G5" s="16">
        <f t="shared" ref="G5:G24" si="2">H4</f>
        <v>19.998</v>
      </c>
      <c r="H5" s="16">
        <f t="shared" si="1"/>
        <v>136.653</v>
      </c>
      <c r="I5" s="14" t="s">
        <v>14</v>
      </c>
    </row>
    <row r="6" ht="15.75" customHeight="1">
      <c r="A6" s="17">
        <v>2.0</v>
      </c>
      <c r="B6" s="12">
        <v>34.0</v>
      </c>
      <c r="C6" s="13"/>
      <c r="D6" s="12"/>
      <c r="E6" s="14" t="s">
        <v>15</v>
      </c>
      <c r="F6" s="14">
        <v>0.0</v>
      </c>
      <c r="G6" s="16">
        <f t="shared" si="2"/>
        <v>136.653</v>
      </c>
      <c r="H6" s="16">
        <f t="shared" si="1"/>
        <v>139.986</v>
      </c>
      <c r="I6" s="14" t="s">
        <v>16</v>
      </c>
    </row>
    <row r="7" ht="15.75" customHeight="1">
      <c r="A7" s="17">
        <v>3.0</v>
      </c>
      <c r="B7" s="12">
        <v>4.0</v>
      </c>
      <c r="C7" s="13"/>
      <c r="D7" s="12"/>
      <c r="E7" s="18" t="s">
        <v>17</v>
      </c>
      <c r="F7" s="14">
        <v>0.0</v>
      </c>
      <c r="G7" s="20">
        <f t="shared" si="2"/>
        <v>139.986</v>
      </c>
      <c r="H7" s="20">
        <f t="shared" si="1"/>
        <v>143.319</v>
      </c>
      <c r="I7" s="14" t="s">
        <v>117</v>
      </c>
    </row>
    <row r="8" ht="15.75" customHeight="1">
      <c r="A8" s="17">
        <v>4.0</v>
      </c>
      <c r="B8" s="12">
        <v>22.0</v>
      </c>
      <c r="C8" s="13"/>
      <c r="D8" s="12"/>
      <c r="E8" s="14" t="s">
        <v>19</v>
      </c>
      <c r="F8" s="14">
        <v>3.0</v>
      </c>
      <c r="G8" s="16">
        <f t="shared" si="2"/>
        <v>143.319</v>
      </c>
      <c r="H8" s="16">
        <f t="shared" si="1"/>
        <v>159.984</v>
      </c>
      <c r="I8" s="14" t="s">
        <v>20</v>
      </c>
    </row>
    <row r="9" ht="15.75" customHeight="1">
      <c r="A9" s="17">
        <v>5.0</v>
      </c>
      <c r="B9" s="12">
        <v>7.0</v>
      </c>
      <c r="C9" s="13"/>
      <c r="D9" s="12" t="s">
        <v>21</v>
      </c>
      <c r="E9" s="18" t="s">
        <v>22</v>
      </c>
      <c r="F9" s="14">
        <v>0.0</v>
      </c>
      <c r="G9" s="20">
        <f t="shared" si="2"/>
        <v>159.984</v>
      </c>
      <c r="H9" s="16">
        <f t="shared" si="1"/>
        <v>163.317</v>
      </c>
      <c r="I9" s="14" t="s">
        <v>118</v>
      </c>
    </row>
    <row r="10" ht="15.75" customHeight="1">
      <c r="A10" s="17">
        <v>6.0</v>
      </c>
      <c r="B10" s="12">
        <v>5.0</v>
      </c>
      <c r="C10" s="13"/>
      <c r="D10" s="12"/>
      <c r="E10" s="14" t="s">
        <v>24</v>
      </c>
      <c r="F10" s="14">
        <v>0.0</v>
      </c>
      <c r="G10" s="16">
        <f t="shared" si="2"/>
        <v>163.317</v>
      </c>
      <c r="H10" s="16">
        <f t="shared" si="1"/>
        <v>166.65</v>
      </c>
      <c r="I10" s="14" t="s">
        <v>25</v>
      </c>
    </row>
    <row r="11" ht="15.75" customHeight="1">
      <c r="A11" s="17">
        <v>7.0</v>
      </c>
      <c r="B11" s="12">
        <v>0.0</v>
      </c>
      <c r="C11" s="13"/>
      <c r="D11" s="12"/>
      <c r="E11" s="14" t="s">
        <v>26</v>
      </c>
      <c r="F11" s="14">
        <v>0.0</v>
      </c>
      <c r="G11" s="20">
        <f t="shared" si="2"/>
        <v>166.65</v>
      </c>
      <c r="H11" s="20">
        <f t="shared" si="1"/>
        <v>169.983</v>
      </c>
      <c r="I11" s="14" t="s">
        <v>119</v>
      </c>
    </row>
    <row r="12" ht="15.75" customHeight="1">
      <c r="A12" s="13"/>
      <c r="B12" s="13"/>
      <c r="C12" s="13" t="s">
        <v>28</v>
      </c>
      <c r="D12" s="12"/>
      <c r="E12" s="14" t="s">
        <v>29</v>
      </c>
      <c r="F12" s="14">
        <v>0.0</v>
      </c>
      <c r="G12" s="16">
        <f t="shared" si="2"/>
        <v>169.983</v>
      </c>
      <c r="H12" s="16">
        <f t="shared" si="1"/>
        <v>173.316</v>
      </c>
      <c r="I12" s="14" t="s">
        <v>30</v>
      </c>
    </row>
    <row r="13" ht="15.75" customHeight="1">
      <c r="A13" s="22" t="s">
        <v>31</v>
      </c>
      <c r="B13" s="3"/>
      <c r="C13" s="13"/>
      <c r="D13" s="12" t="s">
        <v>32</v>
      </c>
      <c r="E13" s="18" t="s">
        <v>33</v>
      </c>
      <c r="F13" s="14">
        <v>0.0</v>
      </c>
      <c r="G13" s="38">
        <f t="shared" si="2"/>
        <v>173.316</v>
      </c>
      <c r="H13" s="20">
        <f t="shared" si="1"/>
        <v>176.649</v>
      </c>
      <c r="I13" s="14" t="s">
        <v>120</v>
      </c>
    </row>
    <row r="14" ht="15.75" customHeight="1">
      <c r="A14" s="17" t="s">
        <v>35</v>
      </c>
      <c r="B14" s="12">
        <v>135.0</v>
      </c>
      <c r="C14" s="13"/>
      <c r="D14" s="12"/>
      <c r="E14" s="14" t="s">
        <v>36</v>
      </c>
      <c r="F14" s="14">
        <v>0.0</v>
      </c>
      <c r="G14" s="26">
        <f t="shared" si="2"/>
        <v>176.649</v>
      </c>
      <c r="H14" s="16">
        <f t="shared" si="1"/>
        <v>179.982</v>
      </c>
      <c r="I14" s="14" t="s">
        <v>37</v>
      </c>
    </row>
    <row r="15" ht="15.75" customHeight="1">
      <c r="A15" s="17" t="s">
        <v>38</v>
      </c>
      <c r="B15" s="12">
        <v>70.0</v>
      </c>
      <c r="C15" s="13"/>
      <c r="D15" s="12" t="s">
        <v>39</v>
      </c>
      <c r="E15" s="14" t="s">
        <v>40</v>
      </c>
      <c r="F15" s="14">
        <v>0.0</v>
      </c>
      <c r="G15" s="16">
        <f t="shared" si="2"/>
        <v>179.982</v>
      </c>
      <c r="H15" s="16">
        <f t="shared" si="1"/>
        <v>183.315</v>
      </c>
      <c r="I15" s="14" t="s">
        <v>41</v>
      </c>
    </row>
    <row r="16" ht="15.75" customHeight="1">
      <c r="A16" s="17" t="s">
        <v>42</v>
      </c>
      <c r="B16" s="12">
        <v>150.0</v>
      </c>
      <c r="C16" s="13"/>
      <c r="D16" s="12"/>
      <c r="E16" s="14" t="s">
        <v>43</v>
      </c>
      <c r="F16" s="14">
        <v>4.0</v>
      </c>
      <c r="G16" s="16">
        <f t="shared" si="2"/>
        <v>183.315</v>
      </c>
      <c r="H16" s="16">
        <f t="shared" si="1"/>
        <v>259.974</v>
      </c>
      <c r="I16" s="14" t="s">
        <v>44</v>
      </c>
    </row>
    <row r="17" ht="15.75" customHeight="1">
      <c r="A17" s="17" t="s">
        <v>45</v>
      </c>
      <c r="B17" s="12">
        <v>15.0</v>
      </c>
      <c r="C17" s="13"/>
      <c r="D17" s="12"/>
      <c r="E17" s="18" t="s">
        <v>33</v>
      </c>
      <c r="F17" s="14">
        <v>0.0</v>
      </c>
      <c r="G17" s="20">
        <f t="shared" si="2"/>
        <v>259.974</v>
      </c>
      <c r="H17" s="20">
        <f t="shared" si="1"/>
        <v>263.307</v>
      </c>
      <c r="I17" s="14" t="s">
        <v>121</v>
      </c>
    </row>
    <row r="18" ht="15.75" customHeight="1">
      <c r="A18" s="17" t="s">
        <v>47</v>
      </c>
      <c r="B18" s="12">
        <v>20.0</v>
      </c>
      <c r="C18" s="13"/>
      <c r="D18" s="12"/>
      <c r="E18" s="14" t="s">
        <v>22</v>
      </c>
      <c r="F18" s="14">
        <v>0.0</v>
      </c>
      <c r="G18" s="20">
        <f t="shared" si="2"/>
        <v>263.307</v>
      </c>
      <c r="H18" s="16">
        <f t="shared" si="1"/>
        <v>266.64</v>
      </c>
      <c r="I18" s="14" t="s">
        <v>122</v>
      </c>
    </row>
    <row r="19" ht="15.75" customHeight="1">
      <c r="A19" s="17" t="s">
        <v>49</v>
      </c>
      <c r="B19" s="12">
        <v>150.0</v>
      </c>
      <c r="C19" s="13"/>
      <c r="D19" s="12"/>
      <c r="E19" s="14" t="s">
        <v>50</v>
      </c>
      <c r="F19" s="14">
        <v>5.0</v>
      </c>
      <c r="G19" s="16">
        <f t="shared" si="2"/>
        <v>266.64</v>
      </c>
      <c r="H19" s="16">
        <f t="shared" si="1"/>
        <v>293.304</v>
      </c>
      <c r="I19" s="14" t="s">
        <v>51</v>
      </c>
    </row>
    <row r="20" ht="15.75" customHeight="1">
      <c r="A20" s="17" t="s">
        <v>52</v>
      </c>
      <c r="B20" s="12">
        <v>50.0</v>
      </c>
      <c r="C20" s="13"/>
      <c r="D20" s="12"/>
      <c r="E20" s="14" t="s">
        <v>53</v>
      </c>
      <c r="F20" s="14">
        <v>0.0</v>
      </c>
      <c r="G20" s="20">
        <f t="shared" si="2"/>
        <v>293.304</v>
      </c>
      <c r="H20" s="16">
        <f t="shared" si="1"/>
        <v>296.637</v>
      </c>
      <c r="I20" s="14" t="s">
        <v>123</v>
      </c>
    </row>
    <row r="21" ht="15.75" customHeight="1">
      <c r="A21" s="17" t="s">
        <v>55</v>
      </c>
      <c r="B21" s="14">
        <v>45.0</v>
      </c>
      <c r="C21" s="13"/>
      <c r="D21" s="12"/>
      <c r="E21" s="14" t="s">
        <v>17</v>
      </c>
      <c r="F21" s="14">
        <v>0.0</v>
      </c>
      <c r="G21" s="20">
        <f t="shared" si="2"/>
        <v>296.637</v>
      </c>
      <c r="H21" s="16">
        <f t="shared" si="1"/>
        <v>299.97</v>
      </c>
      <c r="I21" s="14" t="s">
        <v>124</v>
      </c>
    </row>
    <row r="22" ht="15.75" customHeight="1">
      <c r="A22" s="17" t="s">
        <v>57</v>
      </c>
      <c r="B22" s="12">
        <v>25.0</v>
      </c>
      <c r="C22" s="13"/>
      <c r="D22" s="12"/>
      <c r="E22" s="14" t="s">
        <v>58</v>
      </c>
      <c r="F22" s="14">
        <v>0.0</v>
      </c>
      <c r="G22" s="16">
        <f t="shared" si="2"/>
        <v>299.97</v>
      </c>
      <c r="H22" s="16">
        <f t="shared" si="1"/>
        <v>303.303</v>
      </c>
      <c r="I22" s="14"/>
    </row>
    <row r="23" ht="15.75" customHeight="1">
      <c r="A23" s="17" t="s">
        <v>59</v>
      </c>
      <c r="B23" s="12">
        <v>70.0</v>
      </c>
      <c r="C23" s="13"/>
      <c r="D23" s="12"/>
      <c r="E23" s="14" t="s">
        <v>60</v>
      </c>
      <c r="F23" s="14">
        <v>6.0</v>
      </c>
      <c r="G23" s="16">
        <f t="shared" si="2"/>
        <v>303.303</v>
      </c>
      <c r="H23" s="16">
        <f t="shared" si="1"/>
        <v>323.301</v>
      </c>
      <c r="I23" s="14" t="s">
        <v>61</v>
      </c>
    </row>
    <row r="24" ht="15.75" customHeight="1">
      <c r="A24" s="17" t="s">
        <v>62</v>
      </c>
      <c r="B24" s="12">
        <v>175.0</v>
      </c>
      <c r="C24" s="13"/>
      <c r="D24" s="12"/>
      <c r="E24" s="18" t="s">
        <v>63</v>
      </c>
      <c r="F24" s="14">
        <v>0.0</v>
      </c>
      <c r="G24" s="20">
        <f t="shared" si="2"/>
        <v>323.301</v>
      </c>
      <c r="H24" s="16">
        <f t="shared" si="1"/>
        <v>326.634</v>
      </c>
      <c r="I24" s="18" t="s">
        <v>125</v>
      </c>
    </row>
    <row r="25" ht="15.75" customHeight="1">
      <c r="A25" s="17" t="s">
        <v>65</v>
      </c>
      <c r="B25" s="12">
        <v>95.0</v>
      </c>
      <c r="C25" s="13"/>
      <c r="D25" s="12"/>
      <c r="E25" s="14" t="s">
        <v>66</v>
      </c>
      <c r="F25" s="14">
        <v>0.0</v>
      </c>
      <c r="G25" s="39">
        <v>0.0</v>
      </c>
      <c r="H25" s="26">
        <f>G25+3.333</f>
        <v>3.333</v>
      </c>
      <c r="I25" s="14"/>
    </row>
    <row r="26" ht="15.75" customHeight="1">
      <c r="A26" s="17" t="s">
        <v>67</v>
      </c>
      <c r="B26" s="12">
        <v>320.0</v>
      </c>
      <c r="C26" s="13"/>
      <c r="D26" s="12" t="s">
        <v>68</v>
      </c>
      <c r="E26" s="14" t="s">
        <v>69</v>
      </c>
      <c r="F26" s="14">
        <v>0.0</v>
      </c>
      <c r="G26" s="16">
        <v>0.0</v>
      </c>
      <c r="H26" s="16">
        <f t="shared" ref="H26:H30" si="3">G26+(offset($B$4,$F26,0)+1)*3.333</f>
        <v>3.333</v>
      </c>
      <c r="I26" s="14" t="s">
        <v>70</v>
      </c>
    </row>
    <row r="27" ht="15.75" customHeight="1">
      <c r="A27" s="17" t="s">
        <v>71</v>
      </c>
      <c r="B27" s="12">
        <v>410.0</v>
      </c>
      <c r="C27" s="13"/>
      <c r="D27" s="12" t="s">
        <v>72</v>
      </c>
      <c r="E27" s="14" t="s">
        <v>73</v>
      </c>
      <c r="F27" s="14">
        <v>0.0</v>
      </c>
      <c r="G27" s="16">
        <f t="shared" ref="G27:G30" si="4">H26</f>
        <v>3.333</v>
      </c>
      <c r="H27" s="16">
        <f t="shared" si="3"/>
        <v>6.666</v>
      </c>
      <c r="I27" s="14"/>
    </row>
    <row r="28" ht="15.75" customHeight="1">
      <c r="A28" s="17" t="s">
        <v>74</v>
      </c>
      <c r="B28" s="12">
        <v>115.0</v>
      </c>
      <c r="C28" s="13"/>
      <c r="D28" s="12"/>
      <c r="E28" s="14" t="s">
        <v>75</v>
      </c>
      <c r="F28" s="14">
        <v>0.0</v>
      </c>
      <c r="G28" s="16">
        <f t="shared" si="4"/>
        <v>6.666</v>
      </c>
      <c r="H28" s="16">
        <f t="shared" si="3"/>
        <v>9.999</v>
      </c>
      <c r="I28" s="14"/>
    </row>
    <row r="29" ht="15.75" customHeight="1">
      <c r="A29" s="17"/>
      <c r="B29" s="12"/>
      <c r="C29" s="13"/>
      <c r="D29" s="12"/>
      <c r="E29" s="14" t="s">
        <v>76</v>
      </c>
      <c r="F29" s="14">
        <v>0.0</v>
      </c>
      <c r="G29" s="16">
        <f t="shared" si="4"/>
        <v>9.999</v>
      </c>
      <c r="H29" s="16">
        <f t="shared" si="3"/>
        <v>13.332</v>
      </c>
      <c r="I29" s="14"/>
    </row>
    <row r="30" ht="15.75" customHeight="1">
      <c r="A30" s="17"/>
      <c r="B30" s="12"/>
      <c r="C30" s="13"/>
      <c r="D30" s="12"/>
      <c r="E30" s="14" t="s">
        <v>77</v>
      </c>
      <c r="F30" s="14">
        <v>0.0</v>
      </c>
      <c r="G30" s="16">
        <f t="shared" si="4"/>
        <v>13.332</v>
      </c>
      <c r="H30" s="16">
        <f t="shared" si="3"/>
        <v>16.665</v>
      </c>
      <c r="I30" s="14"/>
    </row>
    <row r="31" ht="15.75" customHeight="1">
      <c r="A31" s="17"/>
      <c r="B31" s="12"/>
      <c r="C31" s="13"/>
      <c r="D31" s="12"/>
      <c r="E31" s="14" t="s">
        <v>78</v>
      </c>
      <c r="F31" s="14">
        <v>7.0</v>
      </c>
      <c r="G31" s="40"/>
      <c r="H31" s="14"/>
      <c r="I31" s="14" t="s">
        <v>79</v>
      </c>
    </row>
    <row r="32" ht="15.75" customHeight="1">
      <c r="A32" s="17"/>
      <c r="B32" s="12"/>
      <c r="C32" s="13"/>
      <c r="D32" s="12"/>
      <c r="E32" s="14" t="s">
        <v>80</v>
      </c>
      <c r="F32" s="14">
        <v>0.0</v>
      </c>
      <c r="G32" s="40"/>
      <c r="H32" s="14"/>
      <c r="I32" s="1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B2"/>
    <mergeCell ref="G2:I2"/>
    <mergeCell ref="A13:B13"/>
  </mergeCells>
  <conditionalFormatting sqref="G24">
    <cfRule type="expression" dxfId="0" priority="1">
      <formula> round($G$24 - $H$7, 1) &lt; VLOOKUP("tRAS",$A$14:$B$32, 2, False)</formula>
    </cfRule>
  </conditionalFormatting>
  <conditionalFormatting sqref="G24">
    <cfRule type="expression" dxfId="1" priority="2">
      <formula> round($G$24 - $H$26, 1) &lt; VLOOKUP("tRC",$A$14:$B$32, 2, False)</formula>
    </cfRule>
  </conditionalFormatting>
  <conditionalFormatting sqref="G13">
    <cfRule type="expression" dxfId="0" priority="3">
      <formula>round($G$13-$H$7, 1) &lt; VLOOKUP("tRCD(min)",$A$14:$B$32,2,false)</formula>
    </cfRule>
  </conditionalFormatting>
  <conditionalFormatting sqref="G13">
    <cfRule type="expression" dxfId="1" priority="4">
      <formula>round($G$13-$H$26,1) &lt; VLOOKUP("tCPN",$A$14:$B$32,2,False)</formula>
    </cfRule>
  </conditionalFormatting>
  <conditionalFormatting sqref="G13">
    <cfRule type="expression" dxfId="2" priority="5">
      <formula>round($G$13-$H$7, 1) &gt;= VLOOKUP("tRCD(max)",$A$14:$B$32,2,false)</formula>
    </cfRule>
  </conditionalFormatting>
  <conditionalFormatting sqref="G18">
    <cfRule type="expression" dxfId="0" priority="6">
      <formula> round($G$18 - $H$11, 1) &lt; VLOOKUP("tCAH",$A$14:$B$26,2,False)</formula>
    </cfRule>
  </conditionalFormatting>
  <conditionalFormatting sqref="G7">
    <cfRule type="expression" dxfId="0" priority="7">
      <formula>round($G$7-$H$26,1) &lt; VLOOKUP("tRP",$A$14:$B$32,2,False)</formula>
    </cfRule>
  </conditionalFormatting>
  <conditionalFormatting sqref="G9">
    <cfRule type="expression" dxfId="0" priority="8">
      <formula> round($G$9 - $H$7, 1) &lt; VLOOKUP("tRAH",$A$14:$B$32,2,False)</formula>
    </cfRule>
  </conditionalFormatting>
  <conditionalFormatting sqref="G17">
    <cfRule type="expression" dxfId="0" priority="9">
      <formula> round($G$17 - $H$11, 1) &lt; VLOOKUP("tWP",$A$14:$B$32,2,False)</formula>
    </cfRule>
  </conditionalFormatting>
  <conditionalFormatting sqref="G11">
    <cfRule type="expression" dxfId="1" priority="10">
      <formula>round($G$11-$H$26,1) &lt; VLOOKUP("tCPN",$A$14:$B$32,2,False)</formula>
    </cfRule>
  </conditionalFormatting>
  <conditionalFormatting sqref="G18">
    <cfRule type="expression" dxfId="0" priority="11">
      <formula> round($G$18 - $H$13, 1) &lt; VLOOKUP("tCAH",$A$14:$B$26,2,False)</formula>
    </cfRule>
  </conditionalFormatting>
  <conditionalFormatting sqref="G20">
    <cfRule type="expression" dxfId="0" priority="12">
      <formula> round($G$20 - $H$7, 1) &lt; VLOOKUP("tRAC",$A$14:$B$26,2,False)</formula>
    </cfRule>
  </conditionalFormatting>
  <conditionalFormatting sqref="G17">
    <cfRule type="expression" dxfId="1" priority="13">
      <formula> round($G$17 - $H$11, 1) &lt; VLOOKUP("tWCH",$A$14:$B$32,2,False)</formula>
    </cfRule>
  </conditionalFormatting>
  <conditionalFormatting sqref="G21">
    <cfRule type="expression" dxfId="0" priority="14">
      <formula>round($G$21 - $H$13, 1) &lt; vlookup("tCAS", $A$14:$B$32, 2, False)</formula>
    </cfRule>
  </conditionalFormatting>
  <conditionalFormatting sqref="G17">
    <cfRule type="expression" dxfId="3" priority="15">
      <formula> round($G$17 - $H$7, 1) &lt; VLOOKUP("tWCR",$A$14:$B$32,2,False)</formula>
    </cfRule>
  </conditionalFormatting>
  <drawing r:id="rId1"/>
</worksheet>
</file>